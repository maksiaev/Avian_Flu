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ih-my.sharepoint.com/personal/maksiaevai_nih_gov/Documents/Documents/Virus_Evolution/Avian_Flu/references/"/>
    </mc:Choice>
  </mc:AlternateContent>
  <xr:revisionPtr revIDLastSave="1" documentId="8_{42607825-A1B8-48B6-BE6A-19348DB71348}" xr6:coauthVersionLast="47" xr6:coauthVersionMax="47" xr10:uidLastSave="{7017594B-A26A-4483-AEFF-16F314A04EE8}"/>
  <bookViews>
    <workbookView xWindow="-108" yWindow="-108" windowWidth="23256" windowHeight="13896" activeTab="1" xr2:uid="{C609A0D5-4383-4BA1-A635-CFEDD739BAFA}"/>
  </bookViews>
  <sheets>
    <sheet name="Headers" sheetId="1" r:id="rId1"/>
    <sheet name="wendy_bird_categories" sheetId="2" r:id="rId2"/>
    <sheet name="unique_species" sheetId="3" r:id="rId3"/>
    <sheet name="metadata_needed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9" i="4" l="1"/>
  <c r="B140" i="4"/>
  <c r="B137" i="4"/>
  <c r="B46" i="4"/>
  <c r="B47" i="4"/>
  <c r="B48" i="4"/>
  <c r="B49" i="4"/>
  <c r="B50" i="4"/>
  <c r="B51" i="4"/>
  <c r="B52" i="4"/>
  <c r="B53" i="4"/>
  <c r="B54" i="4"/>
  <c r="B56" i="4"/>
  <c r="B57" i="4"/>
  <c r="B58" i="4"/>
  <c r="B59" i="4"/>
  <c r="B60" i="4"/>
  <c r="B61" i="4"/>
  <c r="B62" i="4"/>
  <c r="B63" i="4"/>
  <c r="B64" i="4"/>
  <c r="B28" i="4"/>
  <c r="B29" i="4"/>
  <c r="B32" i="4"/>
  <c r="B33" i="4"/>
  <c r="B34" i="4"/>
  <c r="B35" i="4"/>
  <c r="B36" i="4"/>
  <c r="B40" i="4"/>
  <c r="B43" i="4"/>
  <c r="B44" i="4"/>
  <c r="B45" i="4"/>
  <c r="B18" i="4"/>
  <c r="B19" i="4"/>
  <c r="B20" i="4"/>
  <c r="B21" i="4"/>
  <c r="B22" i="4"/>
  <c r="B23" i="4"/>
  <c r="B2" i="4"/>
  <c r="B3" i="4"/>
  <c r="B4" i="4"/>
  <c r="B16" i="4"/>
  <c r="B143" i="4"/>
  <c r="B144" i="4"/>
  <c r="B141" i="4"/>
  <c r="B142" i="4"/>
  <c r="B138" i="4"/>
  <c r="B129" i="4"/>
  <c r="B130" i="4"/>
  <c r="B115" i="4"/>
  <c r="B131" i="4"/>
  <c r="B132" i="4"/>
  <c r="B133" i="4"/>
  <c r="B134" i="4"/>
  <c r="B135" i="4"/>
  <c r="B136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10" i="4"/>
  <c r="B111" i="4"/>
  <c r="B112" i="4"/>
  <c r="B113" i="4"/>
  <c r="B114" i="4"/>
  <c r="B116" i="4"/>
  <c r="B117" i="4"/>
  <c r="B109" i="4"/>
  <c r="B118" i="4"/>
  <c r="B119" i="4"/>
  <c r="B120" i="4"/>
  <c r="B121" i="4"/>
  <c r="B122" i="4"/>
  <c r="B123" i="4"/>
  <c r="B124" i="4"/>
  <c r="B125" i="4"/>
  <c r="B126" i="4"/>
  <c r="B127" i="4"/>
  <c r="B128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55" i="4"/>
  <c r="B30" i="4"/>
  <c r="B37" i="4"/>
  <c r="B38" i="4"/>
  <c r="B39" i="4"/>
  <c r="B41" i="4"/>
  <c r="B42" i="4"/>
  <c r="B31" i="4"/>
  <c r="B24" i="4"/>
  <c r="B25" i="4"/>
  <c r="B26" i="4"/>
  <c r="B27" i="4"/>
  <c r="B5" i="4"/>
  <c r="B7" i="4"/>
  <c r="B10" i="4"/>
  <c r="B11" i="4"/>
  <c r="B14" i="4"/>
  <c r="B15" i="4"/>
  <c r="B12" i="4"/>
  <c r="B13" i="4"/>
  <c r="B17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5" i="4"/>
  <c r="B186" i="4"/>
  <c r="B187" i="4"/>
  <c r="B188" i="4"/>
  <c r="B189" i="4"/>
  <c r="B8" i="4"/>
  <c r="B9" i="4"/>
  <c r="B183" i="4"/>
  <c r="B184" i="4"/>
  <c r="B6" i="4"/>
  <c r="E389" i="1"/>
  <c r="E337" i="1"/>
  <c r="E397" i="1"/>
  <c r="E376" i="1"/>
  <c r="E385" i="1"/>
  <c r="E382" i="1"/>
  <c r="E380" i="1"/>
  <c r="E390" i="1"/>
  <c r="E383" i="1"/>
  <c r="E381" i="1"/>
  <c r="E288" i="1"/>
  <c r="E304" i="1"/>
  <c r="E298" i="1"/>
  <c r="E292" i="1"/>
  <c r="E299" i="1"/>
  <c r="E301" i="1"/>
  <c r="E243" i="1"/>
  <c r="E310" i="1"/>
  <c r="E293" i="1"/>
  <c r="E300" i="1"/>
  <c r="E244" i="1"/>
  <c r="E527" i="1"/>
  <c r="E528" i="1"/>
  <c r="E4" i="1"/>
  <c r="E183" i="1"/>
  <c r="E184" i="1"/>
  <c r="E229" i="1"/>
  <c r="E230" i="1"/>
  <c r="E95" i="1"/>
  <c r="E161" i="1"/>
  <c r="E96" i="1"/>
  <c r="E481" i="1"/>
  <c r="E325" i="1"/>
  <c r="E330" i="1"/>
  <c r="E342" i="1"/>
  <c r="E343" i="1"/>
  <c r="E344" i="1"/>
  <c r="E228" i="1"/>
  <c r="E232" i="1"/>
  <c r="E234" i="1"/>
  <c r="E338" i="1"/>
  <c r="E333" i="1"/>
  <c r="E391" i="1"/>
  <c r="E392" i="1"/>
  <c r="E393" i="1"/>
  <c r="E394" i="1"/>
  <c r="E200" i="1"/>
  <c r="E308" i="1"/>
  <c r="E309" i="1"/>
  <c r="E348" i="1"/>
  <c r="E180" i="1"/>
  <c r="E196" i="1"/>
  <c r="E331" i="1"/>
  <c r="E332" i="1"/>
  <c r="E398" i="1"/>
  <c r="E324" i="1"/>
  <c r="E395" i="1"/>
  <c r="E396" i="1"/>
  <c r="E151" i="1"/>
  <c r="E312" i="1"/>
  <c r="E352" i="1"/>
  <c r="E384" i="1"/>
  <c r="E353" i="1"/>
  <c r="E370" i="1"/>
  <c r="E372" i="1"/>
  <c r="E387" i="1"/>
  <c r="E351" i="1"/>
  <c r="E354" i="1"/>
  <c r="E360" i="1"/>
  <c r="E355" i="1"/>
  <c r="E386" i="1"/>
  <c r="E371" i="1"/>
  <c r="E341" i="1"/>
  <c r="E373" i="1"/>
  <c r="E315" i="1"/>
  <c r="E316" i="1"/>
  <c r="E317" i="1"/>
  <c r="E358" i="1"/>
  <c r="E339" i="1"/>
  <c r="E340" i="1"/>
  <c r="E374" i="1"/>
  <c r="E345" i="1"/>
  <c r="E349" i="1"/>
  <c r="E346" i="1"/>
  <c r="E359" i="1"/>
  <c r="E318" i="1"/>
  <c r="E388" i="1"/>
  <c r="E190" i="1"/>
  <c r="E191" i="1"/>
  <c r="E198" i="1"/>
  <c r="E201" i="1"/>
  <c r="E284" i="1"/>
  <c r="E286" i="1"/>
  <c r="E245" i="1"/>
  <c r="E285" i="1"/>
  <c r="E334" i="1"/>
  <c r="E287" i="1"/>
  <c r="E2" i="1"/>
  <c r="E3" i="1"/>
  <c r="E407" i="1"/>
  <c r="E162" i="1"/>
  <c r="E375" i="1"/>
  <c r="E168" i="1"/>
  <c r="E361" i="1"/>
  <c r="E362" i="1"/>
  <c r="E356" i="1"/>
  <c r="E154" i="1"/>
  <c r="E415" i="1"/>
  <c r="E326" i="1"/>
  <c r="E459" i="1"/>
  <c r="E363" i="1"/>
  <c r="E347" i="1"/>
  <c r="E327" i="1"/>
  <c r="E404" i="1"/>
  <c r="E166" i="1"/>
  <c r="E294" i="1"/>
  <c r="E173" i="1"/>
  <c r="E350" i="1"/>
  <c r="E231" i="1"/>
  <c r="E328" i="1"/>
  <c r="E365" i="1"/>
  <c r="E163" i="1"/>
  <c r="E377" i="1"/>
  <c r="E378" i="1"/>
  <c r="E213" i="1"/>
  <c r="E357" i="1"/>
  <c r="E314" i="1"/>
  <c r="E174" i="1"/>
  <c r="E335" i="1"/>
  <c r="E364" i="1"/>
  <c r="E169" i="1"/>
  <c r="E439" i="1"/>
  <c r="E329" i="1"/>
  <c r="E336" i="1"/>
  <c r="E406" i="1"/>
  <c r="E449" i="1"/>
  <c r="E379" i="1"/>
  <c r="E366" i="1"/>
  <c r="E367" i="1"/>
  <c r="E368" i="1"/>
  <c r="E369" i="1"/>
  <c r="E197" i="1"/>
  <c r="E187" i="1"/>
  <c r="E97" i="1"/>
  <c r="E98" i="1"/>
  <c r="E447" i="1"/>
  <c r="E441" i="1"/>
  <c r="E442" i="1"/>
  <c r="E152" i="1"/>
  <c r="E153" i="1"/>
  <c r="E99" i="1"/>
  <c r="E100" i="1"/>
  <c r="E101" i="1"/>
  <c r="E102" i="1"/>
  <c r="E5" i="1"/>
  <c r="E103" i="1"/>
  <c r="E530" i="1"/>
  <c r="E532" i="1"/>
  <c r="E533" i="1"/>
  <c r="E534" i="1"/>
  <c r="E538" i="1"/>
  <c r="E539" i="1"/>
  <c r="E540" i="1"/>
  <c r="E6" i="1"/>
  <c r="E7" i="1"/>
  <c r="E8" i="1"/>
  <c r="E9" i="1"/>
  <c r="E10" i="1"/>
  <c r="E246" i="1"/>
  <c r="E247" i="1"/>
  <c r="E248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249" i="1"/>
  <c r="E250" i="1"/>
  <c r="E251" i="1"/>
  <c r="E252" i="1"/>
  <c r="E253" i="1"/>
  <c r="E254" i="1"/>
  <c r="E255" i="1"/>
  <c r="E256" i="1"/>
  <c r="E257" i="1"/>
  <c r="E83" i="1"/>
  <c r="E258" i="1"/>
  <c r="E259" i="1"/>
  <c r="E260" i="1"/>
  <c r="E261" i="1"/>
  <c r="E262" i="1"/>
  <c r="E263" i="1"/>
  <c r="E264" i="1"/>
  <c r="E265" i="1"/>
  <c r="E266" i="1"/>
  <c r="E267" i="1"/>
  <c r="E268" i="1"/>
  <c r="E84" i="1"/>
  <c r="E269" i="1"/>
  <c r="E270" i="1"/>
  <c r="E271" i="1"/>
  <c r="E272" i="1"/>
  <c r="E273" i="1"/>
  <c r="E85" i="1"/>
  <c r="E86" i="1"/>
  <c r="E87" i="1"/>
  <c r="E274" i="1"/>
  <c r="E88" i="1"/>
  <c r="E89" i="1"/>
  <c r="E275" i="1"/>
  <c r="E276" i="1"/>
  <c r="E277" i="1"/>
  <c r="E90" i="1"/>
  <c r="E278" i="1"/>
  <c r="E279" i="1"/>
  <c r="E280" i="1"/>
  <c r="E281" i="1"/>
  <c r="E282" i="1"/>
  <c r="E283" i="1"/>
  <c r="E91" i="1"/>
  <c r="E92" i="1"/>
  <c r="E93" i="1"/>
  <c r="E94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508" i="1"/>
  <c r="E509" i="1"/>
  <c r="E510" i="1"/>
  <c r="E547" i="1"/>
  <c r="E548" i="1"/>
  <c r="E511" i="1"/>
  <c r="E537" i="1"/>
  <c r="E549" i="1"/>
  <c r="E149" i="1"/>
  <c r="E558" i="1"/>
  <c r="E150" i="1"/>
  <c r="E142" i="1"/>
  <c r="E143" i="1"/>
  <c r="E144" i="1"/>
  <c r="E145" i="1"/>
  <c r="E146" i="1"/>
  <c r="E503" i="1"/>
  <c r="E496" i="1"/>
  <c r="E491" i="1"/>
  <c r="E512" i="1"/>
  <c r="E489" i="1"/>
  <c r="E492" i="1"/>
  <c r="E490" i="1"/>
  <c r="E499" i="1"/>
  <c r="E513" i="1"/>
  <c r="E514" i="1"/>
  <c r="E515" i="1"/>
  <c r="E516" i="1"/>
  <c r="E517" i="1"/>
  <c r="E502" i="1"/>
  <c r="E501" i="1"/>
  <c r="E484" i="1"/>
  <c r="E529" i="1"/>
  <c r="E493" i="1"/>
  <c r="E495" i="1"/>
  <c r="E518" i="1"/>
  <c r="E519" i="1"/>
  <c r="E507" i="1"/>
  <c r="E497" i="1"/>
  <c r="E486" i="1"/>
  <c r="E487" i="1"/>
  <c r="E498" i="1"/>
  <c r="E500" i="1"/>
  <c r="E505" i="1"/>
  <c r="E504" i="1"/>
  <c r="E520" i="1"/>
  <c r="E521" i="1"/>
  <c r="E483" i="1"/>
  <c r="E522" i="1"/>
  <c r="E523" i="1"/>
  <c r="E524" i="1"/>
  <c r="E485" i="1"/>
  <c r="E488" i="1"/>
  <c r="E526" i="1"/>
  <c r="E440" i="1"/>
  <c r="E494" i="1"/>
  <c r="E321" i="1"/>
  <c r="E322" i="1"/>
  <c r="E323" i="1"/>
  <c r="E399" i="1"/>
  <c r="E400" i="1"/>
  <c r="E401" i="1"/>
  <c r="E403" i="1"/>
  <c r="E482" i="1"/>
  <c r="E456" i="1"/>
  <c r="E457" i="1"/>
  <c r="E458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60" i="1"/>
  <c r="E453" i="1"/>
  <c r="E461" i="1"/>
  <c r="E462" i="1"/>
  <c r="E433" i="1"/>
  <c r="E435" i="1"/>
  <c r="E434" i="1"/>
  <c r="E451" i="1"/>
  <c r="E452" i="1"/>
  <c r="E454" i="1"/>
  <c r="E455" i="1"/>
  <c r="E450" i="1"/>
  <c r="E446" i="1"/>
  <c r="E448" i="1"/>
  <c r="E443" i="1"/>
  <c r="E444" i="1"/>
  <c r="E445" i="1"/>
  <c r="E437" i="1"/>
  <c r="E438" i="1"/>
  <c r="E436" i="1"/>
  <c r="E405" i="1"/>
  <c r="E428" i="1"/>
  <c r="E419" i="1"/>
  <c r="E420" i="1"/>
  <c r="E421" i="1"/>
  <c r="E422" i="1"/>
  <c r="E423" i="1"/>
  <c r="E429" i="1"/>
  <c r="E430" i="1"/>
  <c r="E408" i="1"/>
  <c r="E409" i="1"/>
  <c r="E416" i="1"/>
  <c r="E417" i="1"/>
  <c r="E418" i="1"/>
  <c r="E424" i="1"/>
  <c r="E425" i="1"/>
  <c r="E426" i="1"/>
  <c r="E427" i="1"/>
  <c r="E431" i="1"/>
  <c r="E432" i="1"/>
  <c r="E410" i="1"/>
  <c r="E411" i="1"/>
  <c r="E412" i="1"/>
  <c r="E413" i="1"/>
  <c r="E414" i="1"/>
  <c r="E192" i="1"/>
  <c r="E172" i="1"/>
  <c r="E155" i="1"/>
  <c r="E156" i="1"/>
  <c r="E157" i="1"/>
  <c r="E206" i="1"/>
  <c r="E181" i="1"/>
  <c r="E194" i="1"/>
  <c r="E202" i="1"/>
  <c r="E178" i="1"/>
  <c r="E199" i="1"/>
  <c r="E219" i="1"/>
  <c r="E235" i="1"/>
  <c r="E319" i="1"/>
  <c r="E193" i="1"/>
  <c r="E289" i="1"/>
  <c r="E290" i="1"/>
  <c r="E291" i="1"/>
  <c r="E295" i="1"/>
  <c r="E296" i="1"/>
  <c r="E297" i="1"/>
  <c r="E302" i="1"/>
  <c r="E303" i="1"/>
  <c r="E305" i="1"/>
  <c r="E306" i="1"/>
  <c r="E307" i="1"/>
  <c r="E158" i="1"/>
  <c r="E160" i="1"/>
  <c r="E177" i="1"/>
  <c r="E179" i="1"/>
  <c r="E313" i="1"/>
  <c r="E203" i="1"/>
  <c r="E211" i="1"/>
  <c r="E207" i="1"/>
  <c r="E240" i="1"/>
  <c r="E241" i="1"/>
  <c r="E221" i="1"/>
  <c r="E222" i="1"/>
  <c r="E212" i="1"/>
  <c r="E208" i="1"/>
  <c r="E164" i="1"/>
  <c r="E165" i="1"/>
  <c r="E167" i="1"/>
  <c r="E170" i="1"/>
  <c r="E171" i="1"/>
  <c r="E175" i="1"/>
  <c r="E176" i="1"/>
  <c r="E233" i="1"/>
  <c r="E159" i="1"/>
  <c r="E186" i="1"/>
  <c r="E188" i="1"/>
  <c r="E189" i="1"/>
  <c r="E204" i="1"/>
  <c r="E210" i="1"/>
  <c r="E214" i="1"/>
  <c r="E216" i="1"/>
  <c r="E239" i="1"/>
  <c r="E238" i="1"/>
  <c r="E195" i="1"/>
  <c r="E226" i="1"/>
  <c r="E220" i="1"/>
  <c r="E227" i="1"/>
  <c r="E205" i="1"/>
  <c r="E185" i="1"/>
  <c r="E182" i="1"/>
  <c r="E215" i="1"/>
  <c r="E217" i="1"/>
  <c r="E218" i="1"/>
  <c r="E236" i="1"/>
  <c r="E237" i="1"/>
  <c r="E242" i="1"/>
  <c r="E311" i="1"/>
  <c r="E223" i="1"/>
  <c r="E224" i="1"/>
  <c r="E225" i="1"/>
  <c r="E209" i="1"/>
  <c r="E320" i="1"/>
  <c r="E535" i="1"/>
  <c r="E546" i="1"/>
  <c r="E531" i="1"/>
  <c r="E541" i="1"/>
  <c r="E536" i="1"/>
  <c r="E506" i="1"/>
  <c r="E542" i="1"/>
  <c r="E544" i="1"/>
  <c r="E525" i="1"/>
  <c r="E543" i="1"/>
  <c r="E545" i="1"/>
  <c r="E147" i="1"/>
  <c r="E148" i="1"/>
  <c r="E556" i="1"/>
  <c r="E550" i="1"/>
  <c r="E557" i="1"/>
  <c r="E551" i="1"/>
  <c r="E552" i="1"/>
  <c r="E553" i="1"/>
  <c r="E554" i="1"/>
  <c r="E555" i="1"/>
  <c r="E402" i="1"/>
  <c r="D389" i="1"/>
  <c r="D337" i="1"/>
  <c r="D397" i="1"/>
  <c r="D376" i="1"/>
  <c r="D385" i="1"/>
  <c r="D382" i="1"/>
  <c r="D380" i="1"/>
  <c r="D390" i="1"/>
  <c r="D383" i="1"/>
  <c r="D381" i="1"/>
  <c r="D288" i="1"/>
  <c r="D304" i="1"/>
  <c r="D298" i="1"/>
  <c r="D292" i="1"/>
  <c r="D299" i="1"/>
  <c r="D301" i="1"/>
  <c r="D243" i="1"/>
  <c r="D310" i="1"/>
  <c r="D293" i="1"/>
  <c r="D300" i="1"/>
  <c r="D244" i="1"/>
  <c r="D527" i="1"/>
  <c r="D528" i="1"/>
  <c r="D4" i="1"/>
  <c r="D183" i="1"/>
  <c r="D184" i="1"/>
  <c r="D229" i="1"/>
  <c r="D230" i="1"/>
  <c r="D95" i="1"/>
  <c r="D161" i="1"/>
  <c r="D96" i="1"/>
  <c r="D481" i="1"/>
  <c r="D325" i="1"/>
  <c r="D330" i="1"/>
  <c r="D342" i="1"/>
  <c r="D343" i="1"/>
  <c r="D344" i="1"/>
  <c r="D228" i="1"/>
  <c r="D232" i="1"/>
  <c r="D234" i="1"/>
  <c r="D338" i="1"/>
  <c r="D333" i="1"/>
  <c r="D391" i="1"/>
  <c r="D392" i="1"/>
  <c r="D393" i="1"/>
  <c r="D394" i="1"/>
  <c r="D200" i="1"/>
  <c r="D308" i="1"/>
  <c r="D309" i="1"/>
  <c r="D348" i="1"/>
  <c r="D180" i="1"/>
  <c r="D196" i="1"/>
  <c r="D331" i="1"/>
  <c r="D332" i="1"/>
  <c r="D398" i="1"/>
  <c r="D324" i="1"/>
  <c r="D395" i="1"/>
  <c r="D396" i="1"/>
  <c r="D151" i="1"/>
  <c r="D312" i="1"/>
  <c r="D352" i="1"/>
  <c r="D384" i="1"/>
  <c r="D353" i="1"/>
  <c r="D370" i="1"/>
  <c r="D372" i="1"/>
  <c r="D387" i="1"/>
  <c r="D351" i="1"/>
  <c r="D354" i="1"/>
  <c r="D360" i="1"/>
  <c r="D355" i="1"/>
  <c r="D386" i="1"/>
  <c r="D371" i="1"/>
  <c r="D341" i="1"/>
  <c r="D373" i="1"/>
  <c r="D315" i="1"/>
  <c r="D316" i="1"/>
  <c r="D317" i="1"/>
  <c r="D358" i="1"/>
  <c r="D339" i="1"/>
  <c r="D340" i="1"/>
  <c r="D374" i="1"/>
  <c r="D345" i="1"/>
  <c r="D349" i="1"/>
  <c r="D346" i="1"/>
  <c r="D359" i="1"/>
  <c r="D318" i="1"/>
  <c r="D388" i="1"/>
  <c r="D190" i="1"/>
  <c r="D191" i="1"/>
  <c r="D198" i="1"/>
  <c r="D201" i="1"/>
  <c r="D284" i="1"/>
  <c r="D286" i="1"/>
  <c r="D245" i="1"/>
  <c r="D285" i="1"/>
  <c r="D334" i="1"/>
  <c r="D287" i="1"/>
  <c r="D2" i="1"/>
  <c r="D3" i="1"/>
  <c r="D407" i="1"/>
  <c r="D162" i="1"/>
  <c r="D375" i="1"/>
  <c r="D168" i="1"/>
  <c r="D361" i="1"/>
  <c r="D362" i="1"/>
  <c r="D356" i="1"/>
  <c r="D154" i="1"/>
  <c r="D415" i="1"/>
  <c r="D326" i="1"/>
  <c r="D459" i="1"/>
  <c r="D363" i="1"/>
  <c r="D347" i="1"/>
  <c r="D327" i="1"/>
  <c r="D404" i="1"/>
  <c r="D166" i="1"/>
  <c r="D294" i="1"/>
  <c r="D173" i="1"/>
  <c r="D350" i="1"/>
  <c r="D231" i="1"/>
  <c r="D328" i="1"/>
  <c r="D365" i="1"/>
  <c r="D163" i="1"/>
  <c r="D377" i="1"/>
  <c r="D378" i="1"/>
  <c r="D213" i="1"/>
  <c r="D357" i="1"/>
  <c r="D314" i="1"/>
  <c r="D174" i="1"/>
  <c r="D335" i="1"/>
  <c r="D364" i="1"/>
  <c r="D169" i="1"/>
  <c r="D439" i="1"/>
  <c r="D329" i="1"/>
  <c r="D336" i="1"/>
  <c r="D406" i="1"/>
  <c r="D449" i="1"/>
  <c r="D379" i="1"/>
  <c r="D366" i="1"/>
  <c r="D367" i="1"/>
  <c r="D368" i="1"/>
  <c r="D369" i="1"/>
  <c r="D197" i="1"/>
  <c r="D187" i="1"/>
  <c r="D97" i="1"/>
  <c r="D98" i="1"/>
  <c r="D447" i="1"/>
  <c r="D441" i="1"/>
  <c r="D442" i="1"/>
  <c r="D152" i="1"/>
  <c r="D153" i="1"/>
  <c r="D99" i="1"/>
  <c r="D100" i="1"/>
  <c r="D101" i="1"/>
  <c r="D102" i="1"/>
  <c r="D5" i="1"/>
  <c r="D103" i="1"/>
  <c r="D530" i="1"/>
  <c r="D532" i="1"/>
  <c r="D533" i="1"/>
  <c r="D534" i="1"/>
  <c r="D538" i="1"/>
  <c r="D539" i="1"/>
  <c r="D540" i="1"/>
  <c r="D6" i="1"/>
  <c r="D7" i="1"/>
  <c r="D8" i="1"/>
  <c r="D9" i="1"/>
  <c r="D10" i="1"/>
  <c r="D246" i="1"/>
  <c r="D247" i="1"/>
  <c r="D248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249" i="1"/>
  <c r="D250" i="1"/>
  <c r="D251" i="1"/>
  <c r="D252" i="1"/>
  <c r="D253" i="1"/>
  <c r="D254" i="1"/>
  <c r="D255" i="1"/>
  <c r="D256" i="1"/>
  <c r="D257" i="1"/>
  <c r="D83" i="1"/>
  <c r="D258" i="1"/>
  <c r="D259" i="1"/>
  <c r="D260" i="1"/>
  <c r="D261" i="1"/>
  <c r="D262" i="1"/>
  <c r="D263" i="1"/>
  <c r="D264" i="1"/>
  <c r="D265" i="1"/>
  <c r="D266" i="1"/>
  <c r="D267" i="1"/>
  <c r="D268" i="1"/>
  <c r="D84" i="1"/>
  <c r="D269" i="1"/>
  <c r="D270" i="1"/>
  <c r="D271" i="1"/>
  <c r="D272" i="1"/>
  <c r="D273" i="1"/>
  <c r="D85" i="1"/>
  <c r="D86" i="1"/>
  <c r="D87" i="1"/>
  <c r="D274" i="1"/>
  <c r="D88" i="1"/>
  <c r="D89" i="1"/>
  <c r="D275" i="1"/>
  <c r="D276" i="1"/>
  <c r="D277" i="1"/>
  <c r="D90" i="1"/>
  <c r="D278" i="1"/>
  <c r="D279" i="1"/>
  <c r="D280" i="1"/>
  <c r="D281" i="1"/>
  <c r="D282" i="1"/>
  <c r="D283" i="1"/>
  <c r="D91" i="1"/>
  <c r="D92" i="1"/>
  <c r="D93" i="1"/>
  <c r="D94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508" i="1"/>
  <c r="D509" i="1"/>
  <c r="D510" i="1"/>
  <c r="D547" i="1"/>
  <c r="D548" i="1"/>
  <c r="D511" i="1"/>
  <c r="D537" i="1"/>
  <c r="D549" i="1"/>
  <c r="D149" i="1"/>
  <c r="D558" i="1"/>
  <c r="D150" i="1"/>
  <c r="D142" i="1"/>
  <c r="D143" i="1"/>
  <c r="D144" i="1"/>
  <c r="D145" i="1"/>
  <c r="D146" i="1"/>
  <c r="D503" i="1"/>
  <c r="D496" i="1"/>
  <c r="D491" i="1"/>
  <c r="D512" i="1"/>
  <c r="D489" i="1"/>
  <c r="D492" i="1"/>
  <c r="D490" i="1"/>
  <c r="D499" i="1"/>
  <c r="D513" i="1"/>
  <c r="D514" i="1"/>
  <c r="D515" i="1"/>
  <c r="D516" i="1"/>
  <c r="D517" i="1"/>
  <c r="D502" i="1"/>
  <c r="D501" i="1"/>
  <c r="D484" i="1"/>
  <c r="D529" i="1"/>
  <c r="D493" i="1"/>
  <c r="D495" i="1"/>
  <c r="D518" i="1"/>
  <c r="D519" i="1"/>
  <c r="D507" i="1"/>
  <c r="D497" i="1"/>
  <c r="D486" i="1"/>
  <c r="D487" i="1"/>
  <c r="D498" i="1"/>
  <c r="D500" i="1"/>
  <c r="D505" i="1"/>
  <c r="D504" i="1"/>
  <c r="D520" i="1"/>
  <c r="D521" i="1"/>
  <c r="D483" i="1"/>
  <c r="D522" i="1"/>
  <c r="D523" i="1"/>
  <c r="D524" i="1"/>
  <c r="D485" i="1"/>
  <c r="D488" i="1"/>
  <c r="D526" i="1"/>
  <c r="D440" i="1"/>
  <c r="D494" i="1"/>
  <c r="D321" i="1"/>
  <c r="D322" i="1"/>
  <c r="D323" i="1"/>
  <c r="D399" i="1"/>
  <c r="D400" i="1"/>
  <c r="D401" i="1"/>
  <c r="D403" i="1"/>
  <c r="D482" i="1"/>
  <c r="D456" i="1"/>
  <c r="D457" i="1"/>
  <c r="D458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60" i="1"/>
  <c r="D453" i="1"/>
  <c r="D461" i="1"/>
  <c r="D462" i="1"/>
  <c r="D433" i="1"/>
  <c r="D435" i="1"/>
  <c r="D434" i="1"/>
  <c r="D451" i="1"/>
  <c r="D452" i="1"/>
  <c r="D454" i="1"/>
  <c r="D455" i="1"/>
  <c r="D450" i="1"/>
  <c r="D446" i="1"/>
  <c r="D448" i="1"/>
  <c r="D443" i="1"/>
  <c r="D444" i="1"/>
  <c r="D445" i="1"/>
  <c r="D437" i="1"/>
  <c r="D438" i="1"/>
  <c r="D436" i="1"/>
  <c r="D405" i="1"/>
  <c r="D428" i="1"/>
  <c r="D419" i="1"/>
  <c r="D420" i="1"/>
  <c r="D421" i="1"/>
  <c r="D422" i="1"/>
  <c r="D423" i="1"/>
  <c r="D429" i="1"/>
  <c r="D430" i="1"/>
  <c r="D408" i="1"/>
  <c r="D409" i="1"/>
  <c r="D416" i="1"/>
  <c r="D417" i="1"/>
  <c r="D418" i="1"/>
  <c r="D424" i="1"/>
  <c r="D425" i="1"/>
  <c r="D426" i="1"/>
  <c r="D427" i="1"/>
  <c r="D431" i="1"/>
  <c r="D432" i="1"/>
  <c r="D410" i="1"/>
  <c r="D411" i="1"/>
  <c r="D412" i="1"/>
  <c r="D413" i="1"/>
  <c r="D414" i="1"/>
  <c r="D192" i="1"/>
  <c r="D172" i="1"/>
  <c r="D155" i="1"/>
  <c r="D156" i="1"/>
  <c r="D157" i="1"/>
  <c r="D206" i="1"/>
  <c r="D181" i="1"/>
  <c r="D194" i="1"/>
  <c r="D202" i="1"/>
  <c r="D178" i="1"/>
  <c r="D199" i="1"/>
  <c r="D219" i="1"/>
  <c r="D235" i="1"/>
  <c r="D319" i="1"/>
  <c r="D193" i="1"/>
  <c r="D289" i="1"/>
  <c r="D290" i="1"/>
  <c r="D291" i="1"/>
  <c r="D295" i="1"/>
  <c r="D296" i="1"/>
  <c r="D297" i="1"/>
  <c r="D302" i="1"/>
  <c r="D303" i="1"/>
  <c r="D305" i="1"/>
  <c r="D306" i="1"/>
  <c r="D307" i="1"/>
  <c r="D158" i="1"/>
  <c r="D160" i="1"/>
  <c r="D177" i="1"/>
  <c r="D179" i="1"/>
  <c r="D313" i="1"/>
  <c r="D203" i="1"/>
  <c r="D211" i="1"/>
  <c r="D207" i="1"/>
  <c r="D240" i="1"/>
  <c r="D241" i="1"/>
  <c r="D221" i="1"/>
  <c r="D222" i="1"/>
  <c r="D212" i="1"/>
  <c r="D208" i="1"/>
  <c r="D164" i="1"/>
  <c r="D165" i="1"/>
  <c r="D167" i="1"/>
  <c r="D170" i="1"/>
  <c r="D171" i="1"/>
  <c r="D175" i="1"/>
  <c r="D176" i="1"/>
  <c r="D233" i="1"/>
  <c r="D159" i="1"/>
  <c r="D186" i="1"/>
  <c r="D188" i="1"/>
  <c r="D189" i="1"/>
  <c r="D204" i="1"/>
  <c r="D210" i="1"/>
  <c r="D214" i="1"/>
  <c r="D216" i="1"/>
  <c r="D239" i="1"/>
  <c r="D238" i="1"/>
  <c r="D195" i="1"/>
  <c r="D226" i="1"/>
  <c r="D220" i="1"/>
  <c r="D227" i="1"/>
  <c r="D205" i="1"/>
  <c r="D185" i="1"/>
  <c r="D182" i="1"/>
  <c r="D215" i="1"/>
  <c r="D217" i="1"/>
  <c r="D218" i="1"/>
  <c r="D236" i="1"/>
  <c r="D237" i="1"/>
  <c r="D242" i="1"/>
  <c r="D311" i="1"/>
  <c r="D223" i="1"/>
  <c r="D224" i="1"/>
  <c r="D225" i="1"/>
  <c r="D209" i="1"/>
  <c r="D320" i="1"/>
  <c r="D535" i="1"/>
  <c r="D546" i="1"/>
  <c r="D531" i="1"/>
  <c r="D541" i="1"/>
  <c r="D536" i="1"/>
  <c r="D506" i="1"/>
  <c r="D542" i="1"/>
  <c r="D544" i="1"/>
  <c r="D525" i="1"/>
  <c r="D543" i="1"/>
  <c r="D545" i="1"/>
  <c r="D147" i="1"/>
  <c r="D148" i="1"/>
  <c r="D556" i="1"/>
  <c r="D550" i="1"/>
  <c r="D557" i="1"/>
  <c r="D551" i="1"/>
  <c r="D552" i="1"/>
  <c r="D553" i="1"/>
  <c r="D554" i="1"/>
  <c r="D555" i="1"/>
  <c r="D402" i="1"/>
  <c r="C130" i="1"/>
  <c r="B382" i="1"/>
  <c r="C382" i="1" s="1"/>
  <c r="B380" i="1"/>
  <c r="C380" i="1" s="1"/>
  <c r="B83" i="1"/>
  <c r="C83" i="1" s="1"/>
  <c r="B258" i="1"/>
  <c r="C258" i="1" s="1"/>
  <c r="B259" i="1"/>
  <c r="C259" i="1" s="1"/>
  <c r="B260" i="1"/>
  <c r="C260" i="1" s="1"/>
  <c r="B261" i="1"/>
  <c r="C261" i="1" s="1"/>
  <c r="B262" i="1"/>
  <c r="C262" i="1" s="1"/>
  <c r="B263" i="1"/>
  <c r="C263" i="1" s="1"/>
  <c r="B264" i="1"/>
  <c r="C264" i="1" s="1"/>
  <c r="B265" i="1"/>
  <c r="C265" i="1" s="1"/>
  <c r="B266" i="1"/>
  <c r="C266" i="1" s="1"/>
  <c r="B267" i="1"/>
  <c r="C267" i="1" s="1"/>
  <c r="B268" i="1"/>
  <c r="C268" i="1" s="1"/>
  <c r="B84" i="1"/>
  <c r="C84" i="1" s="1"/>
  <c r="B269" i="1"/>
  <c r="C269" i="1" s="1"/>
  <c r="B270" i="1"/>
  <c r="C270" i="1" s="1"/>
  <c r="B271" i="1"/>
  <c r="C271" i="1" s="1"/>
  <c r="B272" i="1"/>
  <c r="C272" i="1" s="1"/>
  <c r="B273" i="1"/>
  <c r="C273" i="1" s="1"/>
  <c r="B85" i="1"/>
  <c r="C85" i="1" s="1"/>
  <c r="B86" i="1"/>
  <c r="C86" i="1" s="1"/>
  <c r="B87" i="1"/>
  <c r="C87" i="1" s="1"/>
  <c r="B274" i="1"/>
  <c r="C274" i="1" s="1"/>
  <c r="B88" i="1"/>
  <c r="C88" i="1" s="1"/>
  <c r="B89" i="1"/>
  <c r="C89" i="1" s="1"/>
  <c r="B275" i="1"/>
  <c r="C275" i="1" s="1"/>
  <c r="B276" i="1"/>
  <c r="C276" i="1" s="1"/>
  <c r="B277" i="1"/>
  <c r="C277" i="1" s="1"/>
  <c r="B90" i="1"/>
  <c r="C90" i="1" s="1"/>
  <c r="B278" i="1"/>
  <c r="C278" i="1" s="1"/>
  <c r="B279" i="1"/>
  <c r="C279" i="1" s="1"/>
  <c r="B280" i="1"/>
  <c r="C280" i="1" s="1"/>
  <c r="B281" i="1"/>
  <c r="C281" i="1" s="1"/>
  <c r="B282" i="1"/>
  <c r="C282" i="1" s="1"/>
  <c r="B283" i="1"/>
  <c r="C283" i="1" s="1"/>
  <c r="B91" i="1"/>
  <c r="C91" i="1" s="1"/>
  <c r="B92" i="1"/>
  <c r="C92" i="1" s="1"/>
  <c r="B93" i="1"/>
  <c r="C93" i="1" s="1"/>
  <c r="B94" i="1"/>
  <c r="C94" i="1" s="1"/>
  <c r="B104" i="1"/>
  <c r="C104" i="1" s="1"/>
  <c r="B105" i="1"/>
  <c r="C105" i="1" s="1"/>
  <c r="B106" i="1"/>
  <c r="C106" i="1" s="1"/>
  <c r="B107" i="1"/>
  <c r="C107" i="1" s="1"/>
  <c r="B108" i="1"/>
  <c r="C108" i="1" s="1"/>
  <c r="B109" i="1"/>
  <c r="C109" i="1" s="1"/>
  <c r="B110" i="1"/>
  <c r="C110" i="1" s="1"/>
  <c r="B111" i="1"/>
  <c r="C111" i="1" s="1"/>
  <c r="B112" i="1"/>
  <c r="C112" i="1" s="1"/>
  <c r="B113" i="1"/>
  <c r="C113" i="1" s="1"/>
  <c r="B114" i="1"/>
  <c r="C114" i="1" s="1"/>
  <c r="B115" i="1"/>
  <c r="C115" i="1" s="1"/>
  <c r="B116" i="1"/>
  <c r="C116" i="1" s="1"/>
  <c r="B117" i="1"/>
  <c r="C117" i="1" s="1"/>
  <c r="B118" i="1"/>
  <c r="C118" i="1" s="1"/>
  <c r="B119" i="1"/>
  <c r="C119" i="1" s="1"/>
  <c r="B120" i="1"/>
  <c r="C120" i="1" s="1"/>
  <c r="B121" i="1"/>
  <c r="C121" i="1" s="1"/>
  <c r="B122" i="1"/>
  <c r="C122" i="1" s="1"/>
  <c r="B123" i="1"/>
  <c r="C123" i="1" s="1"/>
  <c r="B124" i="1"/>
  <c r="C124" i="1" s="1"/>
  <c r="B125" i="1"/>
  <c r="C125" i="1" s="1"/>
  <c r="B126" i="1"/>
  <c r="C126" i="1" s="1"/>
  <c r="B127" i="1"/>
  <c r="C127" i="1" s="1"/>
  <c r="B128" i="1"/>
  <c r="C128" i="1" s="1"/>
  <c r="B129" i="1"/>
  <c r="C129" i="1" s="1"/>
  <c r="B130" i="1"/>
  <c r="B131" i="1"/>
  <c r="C131" i="1" s="1"/>
  <c r="B132" i="1"/>
  <c r="C132" i="1" s="1"/>
  <c r="B133" i="1"/>
  <c r="C133" i="1" s="1"/>
  <c r="B134" i="1"/>
  <c r="C134" i="1" s="1"/>
  <c r="B135" i="1"/>
  <c r="C135" i="1" s="1"/>
  <c r="B136" i="1"/>
  <c r="C136" i="1" s="1"/>
  <c r="B137" i="1"/>
  <c r="C137" i="1" s="1"/>
  <c r="B138" i="1"/>
  <c r="C138" i="1" s="1"/>
  <c r="B139" i="1"/>
  <c r="C139" i="1" s="1"/>
  <c r="B140" i="1"/>
  <c r="C140" i="1" s="1"/>
  <c r="B141" i="1"/>
  <c r="C141" i="1" s="1"/>
  <c r="B508" i="1"/>
  <c r="C508" i="1" s="1"/>
  <c r="B509" i="1"/>
  <c r="C509" i="1" s="1"/>
  <c r="B510" i="1"/>
  <c r="C510" i="1" s="1"/>
  <c r="B547" i="1"/>
  <c r="C547" i="1" s="1"/>
  <c r="B548" i="1"/>
  <c r="C548" i="1" s="1"/>
  <c r="B511" i="1"/>
  <c r="C511" i="1" s="1"/>
  <c r="B537" i="1"/>
  <c r="C537" i="1" s="1"/>
  <c r="B549" i="1"/>
  <c r="C549" i="1" s="1"/>
  <c r="B149" i="1"/>
  <c r="C149" i="1" s="1"/>
  <c r="B558" i="1"/>
  <c r="C558" i="1" s="1"/>
  <c r="B150" i="1"/>
  <c r="C150" i="1" s="1"/>
  <c r="B142" i="1"/>
  <c r="C142" i="1" s="1"/>
  <c r="B143" i="1"/>
  <c r="C143" i="1" s="1"/>
  <c r="B144" i="1"/>
  <c r="C144" i="1" s="1"/>
  <c r="B145" i="1"/>
  <c r="C145" i="1" s="1"/>
  <c r="B146" i="1"/>
  <c r="C146" i="1" s="1"/>
  <c r="B503" i="1"/>
  <c r="C503" i="1" s="1"/>
  <c r="B496" i="1"/>
  <c r="C496" i="1" s="1"/>
  <c r="B312" i="1"/>
  <c r="C312" i="1" s="1"/>
  <c r="B352" i="1"/>
  <c r="C352" i="1" s="1"/>
  <c r="B491" i="1"/>
  <c r="C491" i="1" s="1"/>
  <c r="B384" i="1"/>
  <c r="C384" i="1" s="1"/>
  <c r="B353" i="1"/>
  <c r="C353" i="1" s="1"/>
  <c r="B512" i="1"/>
  <c r="C512" i="1" s="1"/>
  <c r="B489" i="1"/>
  <c r="C489" i="1" s="1"/>
  <c r="B492" i="1"/>
  <c r="C492" i="1" s="1"/>
  <c r="B370" i="1"/>
  <c r="C370" i="1" s="1"/>
  <c r="B490" i="1"/>
  <c r="C490" i="1" s="1"/>
  <c r="B499" i="1"/>
  <c r="C499" i="1" s="1"/>
  <c r="B513" i="1"/>
  <c r="C513" i="1" s="1"/>
  <c r="B372" i="1"/>
  <c r="C372" i="1" s="1"/>
  <c r="B387" i="1"/>
  <c r="C387" i="1" s="1"/>
  <c r="B514" i="1"/>
  <c r="C514" i="1" s="1"/>
  <c r="B515" i="1"/>
  <c r="C515" i="1" s="1"/>
  <c r="B516" i="1"/>
  <c r="C516" i="1" s="1"/>
  <c r="B351" i="1"/>
  <c r="C351" i="1" s="1"/>
  <c r="B517" i="1"/>
  <c r="C517" i="1" s="1"/>
  <c r="B502" i="1"/>
  <c r="C502" i="1" s="1"/>
  <c r="B501" i="1"/>
  <c r="C501" i="1" s="1"/>
  <c r="B484" i="1"/>
  <c r="C484" i="1" s="1"/>
  <c r="B354" i="1"/>
  <c r="C354" i="1" s="1"/>
  <c r="B390" i="1"/>
  <c r="C390" i="1" s="1"/>
  <c r="B360" i="1"/>
  <c r="C360" i="1" s="1"/>
  <c r="B355" i="1"/>
  <c r="C355" i="1" s="1"/>
  <c r="B529" i="1"/>
  <c r="C529" i="1" s="1"/>
  <c r="B386" i="1"/>
  <c r="C386" i="1" s="1"/>
  <c r="B493" i="1"/>
  <c r="C493" i="1" s="1"/>
  <c r="B495" i="1"/>
  <c r="C495" i="1" s="1"/>
  <c r="B518" i="1"/>
  <c r="C518" i="1" s="1"/>
  <c r="B371" i="1"/>
  <c r="C371" i="1" s="1"/>
  <c r="B341" i="1"/>
  <c r="C341" i="1" s="1"/>
  <c r="B519" i="1"/>
  <c r="C519" i="1" s="1"/>
  <c r="B373" i="1"/>
  <c r="C373" i="1" s="1"/>
  <c r="B315" i="1"/>
  <c r="C315" i="1" s="1"/>
  <c r="B316" i="1"/>
  <c r="C316" i="1" s="1"/>
  <c r="B507" i="1"/>
  <c r="C507" i="1" s="1"/>
  <c r="B317" i="1"/>
  <c r="C317" i="1" s="1"/>
  <c r="B497" i="1"/>
  <c r="C497" i="1" s="1"/>
  <c r="B486" i="1"/>
  <c r="C486" i="1" s="1"/>
  <c r="B358" i="1"/>
  <c r="C358" i="1" s="1"/>
  <c r="B487" i="1"/>
  <c r="C487" i="1" s="1"/>
  <c r="B339" i="1"/>
  <c r="C339" i="1" s="1"/>
  <c r="B340" i="1"/>
  <c r="C340" i="1" s="1"/>
  <c r="B498" i="1"/>
  <c r="C498" i="1" s="1"/>
  <c r="B500" i="1"/>
  <c r="C500" i="1" s="1"/>
  <c r="B374" i="1"/>
  <c r="C374" i="1" s="1"/>
  <c r="B505" i="1"/>
  <c r="C505" i="1" s="1"/>
  <c r="B504" i="1"/>
  <c r="C504" i="1" s="1"/>
  <c r="B345" i="1"/>
  <c r="C345" i="1" s="1"/>
  <c r="B349" i="1"/>
  <c r="C349" i="1" s="1"/>
  <c r="B346" i="1"/>
  <c r="C346" i="1" s="1"/>
  <c r="B359" i="1"/>
  <c r="C359" i="1" s="1"/>
  <c r="B520" i="1"/>
  <c r="C520" i="1" s="1"/>
  <c r="B318" i="1"/>
  <c r="C318" i="1" s="1"/>
  <c r="B388" i="1"/>
  <c r="C388" i="1" s="1"/>
  <c r="B383" i="1"/>
  <c r="C383" i="1" s="1"/>
  <c r="B521" i="1"/>
  <c r="C521" i="1" s="1"/>
  <c r="B190" i="1"/>
  <c r="C190" i="1" s="1"/>
  <c r="B483" i="1"/>
  <c r="C483" i="1" s="1"/>
  <c r="B522" i="1"/>
  <c r="C522" i="1" s="1"/>
  <c r="B523" i="1"/>
  <c r="C523" i="1" s="1"/>
  <c r="B524" i="1"/>
  <c r="C524" i="1" s="1"/>
  <c r="B485" i="1"/>
  <c r="C485" i="1" s="1"/>
  <c r="B488" i="1"/>
  <c r="C488" i="1" s="1"/>
  <c r="B526" i="1"/>
  <c r="C526" i="1" s="1"/>
  <c r="B191" i="1"/>
  <c r="C191" i="1" s="1"/>
  <c r="B440" i="1"/>
  <c r="C440" i="1" s="1"/>
  <c r="B494" i="1"/>
  <c r="C494" i="1" s="1"/>
  <c r="B321" i="1"/>
  <c r="C321" i="1" s="1"/>
  <c r="B198" i="1"/>
  <c r="C198" i="1" s="1"/>
  <c r="B201" i="1"/>
  <c r="C201" i="1" s="1"/>
  <c r="B322" i="1"/>
  <c r="C322" i="1" s="1"/>
  <c r="B323" i="1"/>
  <c r="C323" i="1" s="1"/>
  <c r="B284" i="1"/>
  <c r="C284" i="1" s="1"/>
  <c r="B399" i="1"/>
  <c r="C399" i="1" s="1"/>
  <c r="B400" i="1"/>
  <c r="C400" i="1" s="1"/>
  <c r="B286" i="1"/>
  <c r="C286" i="1" s="1"/>
  <c r="B401" i="1"/>
  <c r="C401" i="1" s="1"/>
  <c r="B403" i="1"/>
  <c r="C403" i="1" s="1"/>
  <c r="B482" i="1"/>
  <c r="C482" i="1" s="1"/>
  <c r="B245" i="1"/>
  <c r="C245" i="1" s="1"/>
  <c r="B456" i="1"/>
  <c r="C456" i="1" s="1"/>
  <c r="B457" i="1"/>
  <c r="C457" i="1" s="1"/>
  <c r="B458" i="1"/>
  <c r="C458" i="1" s="1"/>
  <c r="B463" i="1"/>
  <c r="C463" i="1" s="1"/>
  <c r="B464" i="1"/>
  <c r="C464" i="1" s="1"/>
  <c r="B285" i="1"/>
  <c r="C285" i="1" s="1"/>
  <c r="B465" i="1"/>
  <c r="C465" i="1" s="1"/>
  <c r="B466" i="1"/>
  <c r="C466" i="1" s="1"/>
  <c r="B467" i="1"/>
  <c r="C467" i="1" s="1"/>
  <c r="B334" i="1"/>
  <c r="C334" i="1" s="1"/>
  <c r="B287" i="1"/>
  <c r="C287" i="1" s="1"/>
  <c r="B2" i="1"/>
  <c r="C2" i="1" s="1"/>
  <c r="B3" i="1"/>
  <c r="C3" i="1" s="1"/>
  <c r="B407" i="1"/>
  <c r="C407" i="1" s="1"/>
  <c r="B468" i="1"/>
  <c r="C468" i="1" s="1"/>
  <c r="B162" i="1"/>
  <c r="C162" i="1" s="1"/>
  <c r="B469" i="1"/>
  <c r="C469" i="1" s="1"/>
  <c r="B375" i="1"/>
  <c r="C375" i="1" s="1"/>
  <c r="B470" i="1"/>
  <c r="C470" i="1" s="1"/>
  <c r="B168" i="1"/>
  <c r="C168" i="1" s="1"/>
  <c r="B471" i="1"/>
  <c r="C471" i="1" s="1"/>
  <c r="B472" i="1"/>
  <c r="C472" i="1" s="1"/>
  <c r="B381" i="1"/>
  <c r="C381" i="1" s="1"/>
  <c r="B473" i="1"/>
  <c r="C473" i="1" s="1"/>
  <c r="B474" i="1"/>
  <c r="C474" i="1" s="1"/>
  <c r="B475" i="1"/>
  <c r="C475" i="1" s="1"/>
  <c r="B361" i="1"/>
  <c r="C361" i="1" s="1"/>
  <c r="B362" i="1"/>
  <c r="C362" i="1" s="1"/>
  <c r="B476" i="1"/>
  <c r="C476" i="1" s="1"/>
  <c r="B356" i="1"/>
  <c r="C356" i="1" s="1"/>
  <c r="B477" i="1"/>
  <c r="C477" i="1" s="1"/>
  <c r="B478" i="1"/>
  <c r="C478" i="1" s="1"/>
  <c r="B288" i="1"/>
  <c r="C288" i="1" s="1"/>
  <c r="B479" i="1"/>
  <c r="C479" i="1" s="1"/>
  <c r="B480" i="1"/>
  <c r="C480" i="1" s="1"/>
  <c r="B460" i="1"/>
  <c r="C460" i="1" s="1"/>
  <c r="B453" i="1"/>
  <c r="C453" i="1" s="1"/>
  <c r="B461" i="1"/>
  <c r="C461" i="1" s="1"/>
  <c r="B462" i="1"/>
  <c r="C462" i="1" s="1"/>
  <c r="B433" i="1"/>
  <c r="C433" i="1" s="1"/>
  <c r="B435" i="1"/>
  <c r="C435" i="1" s="1"/>
  <c r="B434" i="1"/>
  <c r="C434" i="1" s="1"/>
  <c r="B451" i="1"/>
  <c r="C451" i="1" s="1"/>
  <c r="B452" i="1"/>
  <c r="C452" i="1" s="1"/>
  <c r="B454" i="1"/>
  <c r="C454" i="1" s="1"/>
  <c r="B455" i="1"/>
  <c r="C455" i="1" s="1"/>
  <c r="B450" i="1"/>
  <c r="C450" i="1" s="1"/>
  <c r="B446" i="1"/>
  <c r="C446" i="1" s="1"/>
  <c r="B448" i="1"/>
  <c r="C448" i="1" s="1"/>
  <c r="B304" i="1"/>
  <c r="C304" i="1" s="1"/>
  <c r="B154" i="1"/>
  <c r="C154" i="1" s="1"/>
  <c r="B443" i="1"/>
  <c r="C443" i="1" s="1"/>
  <c r="B444" i="1"/>
  <c r="C444" i="1" s="1"/>
  <c r="B445" i="1"/>
  <c r="C445" i="1" s="1"/>
  <c r="B437" i="1"/>
  <c r="C437" i="1" s="1"/>
  <c r="B438" i="1"/>
  <c r="C438" i="1" s="1"/>
  <c r="B436" i="1"/>
  <c r="C436" i="1" s="1"/>
  <c r="B405" i="1"/>
  <c r="C405" i="1" s="1"/>
  <c r="B428" i="1"/>
  <c r="C428" i="1" s="1"/>
  <c r="B419" i="1"/>
  <c r="C419" i="1" s="1"/>
  <c r="B420" i="1"/>
  <c r="C420" i="1" s="1"/>
  <c r="B421" i="1"/>
  <c r="C421" i="1" s="1"/>
  <c r="B422" i="1"/>
  <c r="C422" i="1" s="1"/>
  <c r="B423" i="1"/>
  <c r="C423" i="1" s="1"/>
  <c r="B298" i="1"/>
  <c r="C298" i="1" s="1"/>
  <c r="B429" i="1"/>
  <c r="C429" i="1" s="1"/>
  <c r="B430" i="1"/>
  <c r="C430" i="1" s="1"/>
  <c r="B408" i="1"/>
  <c r="C408" i="1" s="1"/>
  <c r="B409" i="1"/>
  <c r="C409" i="1" s="1"/>
  <c r="B416" i="1"/>
  <c r="C416" i="1" s="1"/>
  <c r="B417" i="1"/>
  <c r="C417" i="1" s="1"/>
  <c r="B418" i="1"/>
  <c r="C418" i="1" s="1"/>
  <c r="B424" i="1"/>
  <c r="C424" i="1" s="1"/>
  <c r="B425" i="1"/>
  <c r="C425" i="1" s="1"/>
  <c r="B426" i="1"/>
  <c r="C426" i="1" s="1"/>
  <c r="B427" i="1"/>
  <c r="C427" i="1" s="1"/>
  <c r="B415" i="1"/>
  <c r="C415" i="1" s="1"/>
  <c r="B431" i="1"/>
  <c r="C431" i="1" s="1"/>
  <c r="B432" i="1"/>
  <c r="C432" i="1" s="1"/>
  <c r="B410" i="1"/>
  <c r="C410" i="1" s="1"/>
  <c r="B411" i="1"/>
  <c r="C411" i="1" s="1"/>
  <c r="B412" i="1"/>
  <c r="C412" i="1" s="1"/>
  <c r="B413" i="1"/>
  <c r="C413" i="1" s="1"/>
  <c r="B414" i="1"/>
  <c r="C414" i="1" s="1"/>
  <c r="B192" i="1"/>
  <c r="C192" i="1" s="1"/>
  <c r="B172" i="1"/>
  <c r="C172" i="1" s="1"/>
  <c r="B155" i="1"/>
  <c r="C155" i="1" s="1"/>
  <c r="B326" i="1"/>
  <c r="C326" i="1" s="1"/>
  <c r="B156" i="1"/>
  <c r="C156" i="1" s="1"/>
  <c r="B157" i="1"/>
  <c r="C157" i="1" s="1"/>
  <c r="B206" i="1"/>
  <c r="C206" i="1" s="1"/>
  <c r="B459" i="1"/>
  <c r="C459" i="1" s="1"/>
  <c r="B181" i="1"/>
  <c r="C181" i="1" s="1"/>
  <c r="B363" i="1"/>
  <c r="C363" i="1" s="1"/>
  <c r="B194" i="1"/>
  <c r="C194" i="1" s="1"/>
  <c r="B347" i="1"/>
  <c r="C347" i="1" s="1"/>
  <c r="B202" i="1"/>
  <c r="C202" i="1" s="1"/>
  <c r="B178" i="1"/>
  <c r="C178" i="1" s="1"/>
  <c r="B199" i="1"/>
  <c r="C199" i="1" s="1"/>
  <c r="B219" i="1"/>
  <c r="C219" i="1" s="1"/>
  <c r="B235" i="1"/>
  <c r="C235" i="1" s="1"/>
  <c r="B319" i="1"/>
  <c r="C319" i="1" s="1"/>
  <c r="B327" i="1"/>
  <c r="C327" i="1" s="1"/>
  <c r="B193" i="1"/>
  <c r="C193" i="1" s="1"/>
  <c r="B289" i="1"/>
  <c r="C289" i="1" s="1"/>
  <c r="B290" i="1"/>
  <c r="C290" i="1" s="1"/>
  <c r="B291" i="1"/>
  <c r="C291" i="1" s="1"/>
  <c r="B295" i="1"/>
  <c r="C295" i="1" s="1"/>
  <c r="B296" i="1"/>
  <c r="C296" i="1" s="1"/>
  <c r="B297" i="1"/>
  <c r="C297" i="1" s="1"/>
  <c r="B302" i="1"/>
  <c r="C302" i="1" s="1"/>
  <c r="B303" i="1"/>
  <c r="C303" i="1" s="1"/>
  <c r="B305" i="1"/>
  <c r="C305" i="1" s="1"/>
  <c r="B306" i="1"/>
  <c r="C306" i="1" s="1"/>
  <c r="B307" i="1"/>
  <c r="C307" i="1" s="1"/>
  <c r="B158" i="1"/>
  <c r="C158" i="1" s="1"/>
  <c r="B404" i="1"/>
  <c r="C404" i="1" s="1"/>
  <c r="B160" i="1"/>
  <c r="C160" i="1" s="1"/>
  <c r="B177" i="1"/>
  <c r="C177" i="1" s="1"/>
  <c r="B179" i="1"/>
  <c r="C179" i="1" s="1"/>
  <c r="B313" i="1"/>
  <c r="C313" i="1" s="1"/>
  <c r="B203" i="1"/>
  <c r="C203" i="1" s="1"/>
  <c r="B211" i="1"/>
  <c r="C211" i="1" s="1"/>
  <c r="B207" i="1"/>
  <c r="C207" i="1" s="1"/>
  <c r="B240" i="1"/>
  <c r="C240" i="1" s="1"/>
  <c r="B241" i="1"/>
  <c r="C241" i="1" s="1"/>
  <c r="B221" i="1"/>
  <c r="C221" i="1" s="1"/>
  <c r="B222" i="1"/>
  <c r="C222" i="1" s="1"/>
  <c r="B212" i="1"/>
  <c r="C212" i="1" s="1"/>
  <c r="B208" i="1"/>
  <c r="C208" i="1" s="1"/>
  <c r="B166" i="1"/>
  <c r="C166" i="1" s="1"/>
  <c r="B294" i="1"/>
  <c r="C294" i="1" s="1"/>
  <c r="B164" i="1"/>
  <c r="C164" i="1" s="1"/>
  <c r="B165" i="1"/>
  <c r="C165" i="1" s="1"/>
  <c r="B167" i="1"/>
  <c r="C167" i="1" s="1"/>
  <c r="B170" i="1"/>
  <c r="C170" i="1" s="1"/>
  <c r="B171" i="1"/>
  <c r="C171" i="1" s="1"/>
  <c r="B175" i="1"/>
  <c r="C175" i="1" s="1"/>
  <c r="B176" i="1"/>
  <c r="C176" i="1" s="1"/>
  <c r="B233" i="1"/>
  <c r="C233" i="1" s="1"/>
  <c r="B159" i="1"/>
  <c r="C159" i="1" s="1"/>
  <c r="B186" i="1"/>
  <c r="C186" i="1" s="1"/>
  <c r="B188" i="1"/>
  <c r="C188" i="1" s="1"/>
  <c r="B189" i="1"/>
  <c r="C189" i="1" s="1"/>
  <c r="B204" i="1"/>
  <c r="C204" i="1" s="1"/>
  <c r="B210" i="1"/>
  <c r="C210" i="1" s="1"/>
  <c r="B214" i="1"/>
  <c r="C214" i="1" s="1"/>
  <c r="B216" i="1"/>
  <c r="C216" i="1" s="1"/>
  <c r="B173" i="1"/>
  <c r="C173" i="1" s="1"/>
  <c r="B239" i="1"/>
  <c r="C239" i="1" s="1"/>
  <c r="B238" i="1"/>
  <c r="C238" i="1" s="1"/>
  <c r="B195" i="1"/>
  <c r="C195" i="1" s="1"/>
  <c r="B226" i="1"/>
  <c r="C226" i="1" s="1"/>
  <c r="B220" i="1"/>
  <c r="C220" i="1" s="1"/>
  <c r="B227" i="1"/>
  <c r="C227" i="1" s="1"/>
  <c r="B205" i="1"/>
  <c r="C205" i="1" s="1"/>
  <c r="B185" i="1"/>
  <c r="C185" i="1" s="1"/>
  <c r="B182" i="1"/>
  <c r="C182" i="1" s="1"/>
  <c r="B215" i="1"/>
  <c r="C215" i="1" s="1"/>
  <c r="B217" i="1"/>
  <c r="C217" i="1" s="1"/>
  <c r="B218" i="1"/>
  <c r="C218" i="1" s="1"/>
  <c r="B236" i="1"/>
  <c r="C236" i="1" s="1"/>
  <c r="B237" i="1"/>
  <c r="C237" i="1" s="1"/>
  <c r="B242" i="1"/>
  <c r="C242" i="1" s="1"/>
  <c r="B311" i="1"/>
  <c r="C311" i="1" s="1"/>
  <c r="B223" i="1"/>
  <c r="C223" i="1" s="1"/>
  <c r="B224" i="1"/>
  <c r="C224" i="1" s="1"/>
  <c r="B225" i="1"/>
  <c r="C225" i="1" s="1"/>
  <c r="B209" i="1"/>
  <c r="C209" i="1" s="1"/>
  <c r="B320" i="1"/>
  <c r="C320" i="1" s="1"/>
  <c r="B535" i="1"/>
  <c r="C535" i="1" s="1"/>
  <c r="B546" i="1"/>
  <c r="C546" i="1" s="1"/>
  <c r="B531" i="1"/>
  <c r="C531" i="1" s="1"/>
  <c r="B350" i="1"/>
  <c r="C350" i="1" s="1"/>
  <c r="B541" i="1"/>
  <c r="C541" i="1" s="1"/>
  <c r="B536" i="1"/>
  <c r="C536" i="1" s="1"/>
  <c r="B506" i="1"/>
  <c r="C506" i="1" s="1"/>
  <c r="B542" i="1"/>
  <c r="C542" i="1" s="1"/>
  <c r="B544" i="1"/>
  <c r="C544" i="1" s="1"/>
  <c r="B525" i="1"/>
  <c r="C525" i="1" s="1"/>
  <c r="B543" i="1"/>
  <c r="C543" i="1" s="1"/>
  <c r="B545" i="1"/>
  <c r="C545" i="1" s="1"/>
  <c r="B147" i="1"/>
  <c r="C147" i="1" s="1"/>
  <c r="B148" i="1"/>
  <c r="C148" i="1" s="1"/>
  <c r="B556" i="1"/>
  <c r="C556" i="1" s="1"/>
  <c r="B231" i="1"/>
  <c r="C231" i="1" s="1"/>
  <c r="B550" i="1"/>
  <c r="C550" i="1" s="1"/>
  <c r="B557" i="1"/>
  <c r="C557" i="1" s="1"/>
  <c r="B551" i="1"/>
  <c r="C551" i="1" s="1"/>
  <c r="B552" i="1"/>
  <c r="C552" i="1" s="1"/>
  <c r="B553" i="1"/>
  <c r="C553" i="1" s="1"/>
  <c r="B554" i="1"/>
  <c r="C554" i="1" s="1"/>
  <c r="B555" i="1"/>
  <c r="C555" i="1" s="1"/>
  <c r="B292" i="1"/>
  <c r="C292" i="1" s="1"/>
  <c r="B328" i="1"/>
  <c r="C328" i="1" s="1"/>
  <c r="B299" i="1"/>
  <c r="C299" i="1" s="1"/>
  <c r="B301" i="1"/>
  <c r="C301" i="1" s="1"/>
  <c r="B243" i="1"/>
  <c r="C243" i="1" s="1"/>
  <c r="B365" i="1"/>
  <c r="C365" i="1" s="1"/>
  <c r="B163" i="1"/>
  <c r="C163" i="1" s="1"/>
  <c r="B377" i="1"/>
  <c r="C377" i="1" s="1"/>
  <c r="B310" i="1"/>
  <c r="C310" i="1" s="1"/>
  <c r="B293" i="1"/>
  <c r="C293" i="1" s="1"/>
  <c r="B378" i="1"/>
  <c r="C378" i="1" s="1"/>
  <c r="B213" i="1"/>
  <c r="C213" i="1" s="1"/>
  <c r="B357" i="1"/>
  <c r="C357" i="1" s="1"/>
  <c r="B314" i="1"/>
  <c r="C314" i="1" s="1"/>
  <c r="B174" i="1"/>
  <c r="C174" i="1" s="1"/>
  <c r="B335" i="1"/>
  <c r="C335" i="1" s="1"/>
  <c r="B364" i="1"/>
  <c r="C364" i="1" s="1"/>
  <c r="B169" i="1"/>
  <c r="C169" i="1" s="1"/>
  <c r="B439" i="1"/>
  <c r="C439" i="1" s="1"/>
  <c r="B329" i="1"/>
  <c r="C329" i="1" s="1"/>
  <c r="B336" i="1"/>
  <c r="C336" i="1" s="1"/>
  <c r="B406" i="1"/>
  <c r="C406" i="1" s="1"/>
  <c r="B449" i="1"/>
  <c r="C449" i="1" s="1"/>
  <c r="B379" i="1"/>
  <c r="C379" i="1" s="1"/>
  <c r="B366" i="1"/>
  <c r="C366" i="1" s="1"/>
  <c r="B367" i="1"/>
  <c r="C367" i="1" s="1"/>
  <c r="B368" i="1"/>
  <c r="C368" i="1" s="1"/>
  <c r="B369" i="1"/>
  <c r="C369" i="1" s="1"/>
  <c r="B197" i="1"/>
  <c r="C197" i="1" s="1"/>
  <c r="B187" i="1"/>
  <c r="C187" i="1" s="1"/>
  <c r="B97" i="1"/>
  <c r="C97" i="1" s="1"/>
  <c r="B98" i="1"/>
  <c r="C98" i="1" s="1"/>
  <c r="B447" i="1"/>
  <c r="C447" i="1" s="1"/>
  <c r="B441" i="1"/>
  <c r="C441" i="1" s="1"/>
  <c r="B442" i="1"/>
  <c r="C442" i="1" s="1"/>
  <c r="B152" i="1"/>
  <c r="C152" i="1" s="1"/>
  <c r="B153" i="1"/>
  <c r="C153" i="1" s="1"/>
  <c r="B99" i="1"/>
  <c r="C99" i="1" s="1"/>
  <c r="B100" i="1"/>
  <c r="C100" i="1" s="1"/>
  <c r="B101" i="1"/>
  <c r="C101" i="1" s="1"/>
  <c r="B102" i="1"/>
  <c r="C102" i="1" s="1"/>
  <c r="B5" i="1"/>
  <c r="C5" i="1" s="1"/>
  <c r="B103" i="1"/>
  <c r="C103" i="1" s="1"/>
  <c r="B530" i="1"/>
  <c r="C530" i="1" s="1"/>
  <c r="B532" i="1"/>
  <c r="C532" i="1" s="1"/>
  <c r="B533" i="1"/>
  <c r="C533" i="1" s="1"/>
  <c r="B534" i="1"/>
  <c r="C534" i="1" s="1"/>
  <c r="B538" i="1"/>
  <c r="C538" i="1" s="1"/>
  <c r="B539" i="1"/>
  <c r="C539" i="1" s="1"/>
  <c r="B540" i="1"/>
  <c r="C540" i="1" s="1"/>
  <c r="B6" i="1"/>
  <c r="C6" i="1" s="1"/>
  <c r="B7" i="1"/>
  <c r="C7" i="1" s="1"/>
  <c r="B8" i="1"/>
  <c r="C8" i="1" s="1"/>
  <c r="B9" i="1"/>
  <c r="C9" i="1" s="1"/>
  <c r="B10" i="1"/>
  <c r="C10" i="1" s="1"/>
  <c r="B246" i="1"/>
  <c r="C246" i="1" s="1"/>
  <c r="B247" i="1"/>
  <c r="C247" i="1" s="1"/>
  <c r="B248" i="1"/>
  <c r="C248" i="1" s="1"/>
  <c r="B11" i="1"/>
  <c r="C11" i="1" s="1"/>
  <c r="B12" i="1"/>
  <c r="C12" i="1" s="1"/>
  <c r="B13" i="1"/>
  <c r="C13" i="1" s="1"/>
  <c r="B14" i="1"/>
  <c r="C14" i="1" s="1"/>
  <c r="B15" i="1"/>
  <c r="C15" i="1" s="1"/>
  <c r="B16" i="1"/>
  <c r="C16" i="1" s="1"/>
  <c r="B17" i="1"/>
  <c r="C17" i="1" s="1"/>
  <c r="B18" i="1"/>
  <c r="C18" i="1" s="1"/>
  <c r="B19" i="1"/>
  <c r="C19" i="1" s="1"/>
  <c r="B20" i="1"/>
  <c r="C20" i="1" s="1"/>
  <c r="B21" i="1"/>
  <c r="C21" i="1" s="1"/>
  <c r="B22" i="1"/>
  <c r="C22" i="1" s="1"/>
  <c r="B23" i="1"/>
  <c r="C23" i="1" s="1"/>
  <c r="B24" i="1"/>
  <c r="C24" i="1" s="1"/>
  <c r="B25" i="1"/>
  <c r="C25" i="1" s="1"/>
  <c r="B26" i="1"/>
  <c r="C26" i="1" s="1"/>
  <c r="B27" i="1"/>
  <c r="C27" i="1" s="1"/>
  <c r="B28" i="1"/>
  <c r="C28" i="1" s="1"/>
  <c r="B29" i="1"/>
  <c r="C29" i="1" s="1"/>
  <c r="B30" i="1"/>
  <c r="C30" i="1" s="1"/>
  <c r="B31" i="1"/>
  <c r="C31" i="1" s="1"/>
  <c r="B32" i="1"/>
  <c r="C32" i="1" s="1"/>
  <c r="B33" i="1"/>
  <c r="C33" i="1" s="1"/>
  <c r="B34" i="1"/>
  <c r="C34" i="1" s="1"/>
  <c r="B35" i="1"/>
  <c r="C35" i="1" s="1"/>
  <c r="B36" i="1"/>
  <c r="C36" i="1" s="1"/>
  <c r="B37" i="1"/>
  <c r="C37" i="1" s="1"/>
  <c r="B38" i="1"/>
  <c r="C38" i="1" s="1"/>
  <c r="B39" i="1"/>
  <c r="C39" i="1" s="1"/>
  <c r="B40" i="1"/>
  <c r="C40" i="1" s="1"/>
  <c r="B41" i="1"/>
  <c r="C41" i="1" s="1"/>
  <c r="B42" i="1"/>
  <c r="C42" i="1" s="1"/>
  <c r="B43" i="1"/>
  <c r="C43" i="1" s="1"/>
  <c r="B44" i="1"/>
  <c r="C44" i="1" s="1"/>
  <c r="B45" i="1"/>
  <c r="C45" i="1" s="1"/>
  <c r="B46" i="1"/>
  <c r="C46" i="1" s="1"/>
  <c r="B47" i="1"/>
  <c r="C47" i="1" s="1"/>
  <c r="B48" i="1"/>
  <c r="C48" i="1" s="1"/>
  <c r="B49" i="1"/>
  <c r="C49" i="1" s="1"/>
  <c r="B50" i="1"/>
  <c r="C50" i="1" s="1"/>
  <c r="B51" i="1"/>
  <c r="C51" i="1" s="1"/>
  <c r="B52" i="1"/>
  <c r="C52" i="1" s="1"/>
  <c r="B53" i="1"/>
  <c r="C53" i="1" s="1"/>
  <c r="B54" i="1"/>
  <c r="C54" i="1" s="1"/>
  <c r="B55" i="1"/>
  <c r="C55" i="1" s="1"/>
  <c r="B56" i="1"/>
  <c r="C56" i="1" s="1"/>
  <c r="B57" i="1"/>
  <c r="C57" i="1" s="1"/>
  <c r="B58" i="1"/>
  <c r="C58" i="1" s="1"/>
  <c r="B59" i="1"/>
  <c r="C59" i="1" s="1"/>
  <c r="B60" i="1"/>
  <c r="C60" i="1" s="1"/>
  <c r="B61" i="1"/>
  <c r="C61" i="1" s="1"/>
  <c r="B62" i="1"/>
  <c r="C62" i="1" s="1"/>
  <c r="B63" i="1"/>
  <c r="C63" i="1" s="1"/>
  <c r="B64" i="1"/>
  <c r="C64" i="1" s="1"/>
  <c r="B65" i="1"/>
  <c r="C65" i="1" s="1"/>
  <c r="B66" i="1"/>
  <c r="C66" i="1" s="1"/>
  <c r="B67" i="1"/>
  <c r="C67" i="1" s="1"/>
  <c r="B68" i="1"/>
  <c r="C68" i="1" s="1"/>
  <c r="B69" i="1"/>
  <c r="C69" i="1" s="1"/>
  <c r="B70" i="1"/>
  <c r="C70" i="1" s="1"/>
  <c r="B71" i="1"/>
  <c r="C71" i="1" s="1"/>
  <c r="B72" i="1"/>
  <c r="C72" i="1" s="1"/>
  <c r="B402" i="1"/>
  <c r="C402" i="1" s="1"/>
  <c r="B73" i="1"/>
  <c r="C73" i="1" s="1"/>
  <c r="B74" i="1"/>
  <c r="C74" i="1" s="1"/>
  <c r="B75" i="1"/>
  <c r="C75" i="1" s="1"/>
  <c r="B76" i="1"/>
  <c r="C76" i="1" s="1"/>
  <c r="B77" i="1"/>
  <c r="C77" i="1" s="1"/>
  <c r="B78" i="1"/>
  <c r="C78" i="1" s="1"/>
  <c r="B79" i="1"/>
  <c r="C79" i="1" s="1"/>
  <c r="B80" i="1"/>
  <c r="C80" i="1" s="1"/>
  <c r="B81" i="1"/>
  <c r="C81" i="1" s="1"/>
  <c r="B82" i="1"/>
  <c r="C82" i="1" s="1"/>
  <c r="B249" i="1"/>
  <c r="C249" i="1" s="1"/>
  <c r="B250" i="1"/>
  <c r="C250" i="1" s="1"/>
  <c r="B251" i="1"/>
  <c r="C251" i="1" s="1"/>
  <c r="B252" i="1"/>
  <c r="C252" i="1" s="1"/>
  <c r="B253" i="1"/>
  <c r="C253" i="1" s="1"/>
  <c r="B254" i="1"/>
  <c r="C254" i="1" s="1"/>
  <c r="B255" i="1"/>
  <c r="C255" i="1" s="1"/>
  <c r="B256" i="1"/>
  <c r="C256" i="1" s="1"/>
  <c r="B257" i="1"/>
  <c r="C257" i="1" s="1"/>
  <c r="B389" i="1"/>
  <c r="C389" i="1" s="1"/>
  <c r="B337" i="1"/>
  <c r="C337" i="1" s="1"/>
  <c r="B397" i="1"/>
  <c r="C397" i="1" s="1"/>
  <c r="B376" i="1"/>
  <c r="C376" i="1" s="1"/>
  <c r="B300" i="1"/>
  <c r="C300" i="1" s="1"/>
  <c r="B244" i="1"/>
  <c r="C244" i="1" s="1"/>
  <c r="B527" i="1"/>
  <c r="C527" i="1" s="1"/>
  <c r="B528" i="1"/>
  <c r="C528" i="1" s="1"/>
  <c r="B4" i="1"/>
  <c r="C4" i="1" s="1"/>
  <c r="B183" i="1"/>
  <c r="C183" i="1" s="1"/>
  <c r="B184" i="1"/>
  <c r="C184" i="1" s="1"/>
  <c r="B229" i="1"/>
  <c r="C229" i="1" s="1"/>
  <c r="B230" i="1"/>
  <c r="C230" i="1" s="1"/>
  <c r="B95" i="1"/>
  <c r="C95" i="1" s="1"/>
  <c r="B161" i="1"/>
  <c r="C161" i="1" s="1"/>
  <c r="B96" i="1"/>
  <c r="C96" i="1" s="1"/>
  <c r="B481" i="1"/>
  <c r="C481" i="1" s="1"/>
  <c r="B325" i="1"/>
  <c r="C325" i="1" s="1"/>
  <c r="B330" i="1"/>
  <c r="C330" i="1" s="1"/>
  <c r="B342" i="1"/>
  <c r="C342" i="1" s="1"/>
  <c r="B343" i="1"/>
  <c r="C343" i="1" s="1"/>
  <c r="B344" i="1"/>
  <c r="C344" i="1" s="1"/>
  <c r="B228" i="1"/>
  <c r="C228" i="1" s="1"/>
  <c r="B232" i="1"/>
  <c r="C232" i="1" s="1"/>
  <c r="B234" i="1"/>
  <c r="C234" i="1" s="1"/>
  <c r="B338" i="1"/>
  <c r="C338" i="1" s="1"/>
  <c r="B333" i="1"/>
  <c r="C333" i="1" s="1"/>
  <c r="B391" i="1"/>
  <c r="C391" i="1" s="1"/>
  <c r="B392" i="1"/>
  <c r="C392" i="1" s="1"/>
  <c r="B393" i="1"/>
  <c r="C393" i="1" s="1"/>
  <c r="B394" i="1"/>
  <c r="C394" i="1" s="1"/>
  <c r="B200" i="1"/>
  <c r="C200" i="1" s="1"/>
  <c r="B308" i="1"/>
  <c r="C308" i="1" s="1"/>
  <c r="B309" i="1"/>
  <c r="C309" i="1" s="1"/>
  <c r="B348" i="1"/>
  <c r="C348" i="1" s="1"/>
  <c r="B180" i="1"/>
  <c r="C180" i="1" s="1"/>
  <c r="B196" i="1"/>
  <c r="C196" i="1" s="1"/>
  <c r="B331" i="1"/>
  <c r="C331" i="1" s="1"/>
  <c r="B332" i="1"/>
  <c r="C332" i="1" s="1"/>
  <c r="B398" i="1"/>
  <c r="C398" i="1" s="1"/>
  <c r="B324" i="1"/>
  <c r="C324" i="1" s="1"/>
  <c r="B395" i="1"/>
  <c r="C395" i="1" s="1"/>
  <c r="B396" i="1"/>
  <c r="C396" i="1" s="1"/>
  <c r="B151" i="1"/>
  <c r="C151" i="1" s="1"/>
  <c r="B385" i="1"/>
  <c r="C385" i="1" s="1"/>
  <c r="A2" i="3" l="1" a="1"/>
  <c r="A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<sst xmlns="http://schemas.openxmlformats.org/spreadsheetml/2006/main" count="845" uniqueCount="657">
  <si>
    <t>header</t>
  </si>
  <si>
    <t>isolate</t>
  </si>
  <si>
    <t>EPI_ISL_19533315|A/Cackling_Goose/BC/AIVPHL-2533/2024|H5N1|Canada-BC|2024-10-13|wild_avian|A3</t>
  </si>
  <si>
    <t>EPI_ISL_19303645|A/Dunlin/BC/AIVPHL-2052/2024|H5N1|Canada-BC|2024-02-26|wild_avian|A3</t>
  </si>
  <si>
    <t>EPI_ISL_19303657|A/Bald_Eagle/BC/AIVPHL-1455/2023|H5N1|Canada-BC|2023-11-04|wild_avian|A3</t>
  </si>
  <si>
    <t>EPI_ISL_19303653|A/Merlin/BC/AIVPHL-2103/2024|H5N1|Canada-BC|2024-03-08|wild_avian|A3</t>
  </si>
  <si>
    <t>EPI_ISL_19303627|A/Barred_Owl/BC/AIVPHL-1538/2023|H5N1|Canada-BC|2023-12-11|wild_avian|A3</t>
  </si>
  <si>
    <t>EPI_ISL_19303656|A/Barred_Owl/BC/AIVPHL-1810/2024|H5N1|Canada-BC|2024-01-12|wild_avian|A3</t>
  </si>
  <si>
    <t>EPI_ISL_19303628|A/Trumpeter_Swan/BC/AIVPHL-1560/2023|H5N1|Canada-BC|2023-12-18|wild_avian|A3</t>
  </si>
  <si>
    <t>EPI_ISL_19303629|A/Gull_Spp./BC/AIVPHL-1547/2023|H5N1|Canada-BC|2023-12-15|wild_avian|A3</t>
  </si>
  <si>
    <t>EPI_ISL_19303646|A/Dunlin/BC/AIVPHL-2053/2024|H5N1|Canada-BC|2024-02-26|wild_avian|A3</t>
  </si>
  <si>
    <t>EPI_ISL_19303641|A/Cackling_Goose/BC/AIVPHL-1690/2024|H5N1|Canada-BC|2024-01-05|wild_avian|A3</t>
  </si>
  <si>
    <t>EPI_ISL_19303630|A/Peregrine_Falcon/BC/AIVPHL-1550/2023|H5N1|Canada-BC|2023-12-15|wild_avian|A3</t>
  </si>
  <si>
    <t>EPI_ISL_17964921|A/glaucous_gull/California/23-010132-001/2023|H5N1|USA-CA|2023-03-21|wild_avian|A3</t>
  </si>
  <si>
    <t>EPI_ISL_17964940|A/sanderling/Oregon/23-011962-001/2023|H5N1|USA-OR|2023-04-13|wild_avian|A3</t>
  </si>
  <si>
    <t>EPI_ISL_17964937|A/cormorant/California/23-011452-003/2023|H5N1|USA-CA|2023-04-07|wild_avian|A3</t>
  </si>
  <si>
    <t>EPI_ISL_17964930|A/western_gull/California/23-011273-001/2023|H5N1|USA-CA|2023-03-30|wild_avian|A3</t>
  </si>
  <si>
    <t>EPI_ISL_17964936|A/turkey_vulture/California/23-011452-002/2023|H5N1|USA-CA|2023-04-07|wild_avian|A3</t>
  </si>
  <si>
    <t>EPI_ISL_17964943|A/sanderling/California/23-012068-001/2023|H5N1|USA-CA|2023-04-11|wild_avian|A3</t>
  </si>
  <si>
    <t>EPI_ISL_17964855|A/red-tailed_hawk/Wyoming/23-005384-001/2023|H5N1|USA-WY|2023-02-09|wild_avian|A3</t>
  </si>
  <si>
    <t>EPI_ISL_17964979|A/turkey_vulture/California/23-016937-001/2023|H5N1|USA-CA|2023-05-24|wild_avian|A3</t>
  </si>
  <si>
    <t>EPI_ISL_17964931|A/western_gull/California/23-011273-002/2023|H5N1|USA-CA|2023-03-30|wild_avian|A3</t>
  </si>
  <si>
    <t>EPI_ISL_17964935|A/gull/California/23-011452-001/2023|H5N1|USA-CA|2023-04-07|wild_avian|A3</t>
  </si>
  <si>
    <t>EPI_ISL_17964877|A/red-tailed_hawk/California/23-006644-002/2023|H5N1|USA-CA|2023-02-14|wild_avian|A3</t>
  </si>
  <si>
    <t>EPI_ISL_20258499|A/Canada_Goose/BC/AIVPHL-3807/2025|H5N1|Canada-BC|2025-10-18|wild_avian|A3</t>
  </si>
  <si>
    <t>EPI_ISL_20258515|A/Cackling_Goose/BC/AIVPHL-3830/2025|H5N1|Canada-BC|2025-10-31|wild_avian|A3</t>
  </si>
  <si>
    <t>EPI_ISL_19605804|A/red_tailed_hawk/Montana/22-040683-006/2022|H5N1|USA-MT|2022|wild_avian|A3</t>
  </si>
  <si>
    <t>EPI_ISL_16297073|A/chicken/California/22-035144-001/2022|H5N1|USA-CA|2022-10-31|domestic_avian|A3</t>
  </si>
  <si>
    <t>EPI_ISL_16297074|A/domestic_goose/California/22-035144-003/2022|H5N1|USA-CA|2022-10-31|domestic_avian|A3</t>
  </si>
  <si>
    <t>EPI_ISL_17051483|A/trumpeter_swan/BC/AIVPHL-364/2023|H5N1|Canada-BC|2023-01-16|wild_avian|A3</t>
  </si>
  <si>
    <t>EPI_ISL_17051482|A/canada_goose/BC/AIVPHL-371/2023|H5N1|Canada-BC|2023-01-16|wild_avian|A3</t>
  </si>
  <si>
    <t>EPI_ISL_19705486|A/fox/USA/000628-001/2025|H5N1|USA|2025|other_mammal|A3</t>
  </si>
  <si>
    <t>EPI_ISL_18755533|A/northern_pintail/Alaska/USGS-0335/2022|H5N1|USA-AK|2022-09-14|wild_avian|A3</t>
  </si>
  <si>
    <t>EPI_ISL_20265835|A/northern_pintail/USA/03288-001/2025|H5N1|USA|2025|wild_avian|A3</t>
  </si>
  <si>
    <t>EPI_ISL_19743078|A/house_mouse/Missouri/003474-005/2025|H5N1|USA-MO|2025-01-21|other_mammal|A3</t>
  </si>
  <si>
    <t>EPI_ISL_19775911|A/Great_Blue_Heron/BC/FAV-0015-2/2024|H5N1|Canada-BC|2023-10-23|wild_avian|A3</t>
  </si>
  <si>
    <t>EPI_ISL_19775931|A/American_Wigeon/BC/FAV-0015-5/2024|H5N1|Canada-BC|2023-10-28|wild_avian|A3</t>
  </si>
  <si>
    <t>EPI_ISL_19775985|A/Canada_Goose/BC/FAV-0355-1/2023|H5N1|Canada-BC|2023-11-07|wild_avian|A3</t>
  </si>
  <si>
    <t>EPI_ISL_19775986|A/Canada_Goose/BC/FAV-0432-14/2023|H5N1|Canada-BC|2023-11-07|wild_avian|A3</t>
  </si>
  <si>
    <t>EPI_ISL_19775984|A/Canada_Goose/BC/FAV-0015-15/2024|H5N1|Canada-BC|2023-11-07|wild_avian|A3</t>
  </si>
  <si>
    <t>EPI_ISL_19775550|A/Common_Goldeneye/SK/FAV-0275-22/2023|H5N1|Canada-SK|2023-01-14|wild_avian|A3</t>
  </si>
  <si>
    <t>EPI_ISL_19775554|A/Common_Goldeneye/SK/FAV-0275-24/2023|H5N1|Canada-SK|2023-01-21|wild_avian|A3</t>
  </si>
  <si>
    <t>EPI_ISL_19775556|A/Common_Goldeneye/SK/FAV-0275-27/2023|H5N1|Canada-SK|2023-01-25|wild_avian|A3</t>
  </si>
  <si>
    <t>EPI_ISL_19775968|A/Red-tailed_Hawk/BC/FAV-0015-25/2024|H5N1|Canada-BC|2023-11-05|wild_avian|A3</t>
  </si>
  <si>
    <t>EPI_ISL_19775963|A/Red-Tailed_Hawk/BC/FAV-0432-4/2023|H5N1|Canada-BC|2023-11-03|wild_avian|A3</t>
  </si>
  <si>
    <t>EPI_ISL_19776262|A/Dunlin/BC/OTH-0049-24/2024|H5N1|Canada-BC|2024-02-26|wild_avian|A3</t>
  </si>
  <si>
    <t>EPI_ISL_19776261|A/Dunlin/BC/OTH-0049-23/2024|H5N1|Canada-BC|2024-02-26|wild_avian|A3</t>
  </si>
  <si>
    <t>EPI_ISL_19776259|A/Dunlin/BC/OTH-0049-21/2024|H5N1|Canada-BC|2024-02-26|wild_avian|A3</t>
  </si>
  <si>
    <t>EPI_ISL_19776260|A/Dunlin/BC/OTH-0049-22/2024|H5N1|Canada-BC|2024-02-26|wild_avian|A3</t>
  </si>
  <si>
    <t>EPI_ISL_19775524|A/Great_Horned_Owl/BC/FAV-0154-3/2023|H5N1|Canada-BC|2022-11-30|wild_avian|A3</t>
  </si>
  <si>
    <t>EPI_ISL_19775615|A/Chicken/AB/FAV-0190-1/2023|H5N1|Canada-AB|2023-04-20|domestic_avian|A3</t>
  </si>
  <si>
    <t>EPI_ISL_19775616|A/Chicken/AB/FAV-0190-2/2023|H5N1|Canada-AB|2023-04-20|domestic_avian|A3</t>
  </si>
  <si>
    <t>EPI_ISL_19775998|A/Great_Horned_Owl/BC/FAV-0432-18/2023|H5N1|Canada-BC|2023-11-08|wild_avian|A3</t>
  </si>
  <si>
    <t>EPI_ISL_19775488|A/Common_Raven/NT/FAV-0275-16/2023|H5N1|Canada-NT|2022-10-26|wild_avian|A3</t>
  </si>
  <si>
    <t>EPI_ISL_19775512|A/Snow_Goose/BC/FAV-0014-48/2023|H5N1|Canada-BC|2022-11-21|wild_avian|A3</t>
  </si>
  <si>
    <t>EPI_ISL_19775954|A/Trumpeter_Swan/BC/FAV-0015-47/2024|H5N1|Canada-BC|2023-11-01|wild_avian|A3</t>
  </si>
  <si>
    <t>EPI_ISL_19775948|A/Glaucous-winged_Gull/BC/FAV-0015-12/2024|H5N1|Canada-BC|2023-11-01|wild_avian|A3</t>
  </si>
  <si>
    <t>EPI_ISL_19776277|A/Merlin/BC/OTH-0049-36/2024|H5N1|Canada-BC|2024-03-08|wild_avian|A3</t>
  </si>
  <si>
    <t>EPI_ISL_19775708|A/Peregrine_Falcon/BC/FAV-0015-49/2024|H5N1|Canada-BC|2023-10-16|wild_avian|A3</t>
  </si>
  <si>
    <t>EPI_ISL_19776258|A/Dunlin/BC/OTH-0049-20/2024|H5N1|Canada-BC|2024-02-26|wild_avian|A3</t>
  </si>
  <si>
    <t>EPI_ISL_19776257|A/Dunlin/BC/OTH-0049-19/2024|H5N1|Canada-BC|2024-02-26|wild_avian|A3</t>
  </si>
  <si>
    <t>EPI_ISL_15843373|A/Bald_Eagle/BC/OTH-33-36/2022_(H5N1)|H5N1|Canada-BC|2022-02-03|wild_avian|A3</t>
  </si>
  <si>
    <t>EPI_ISL_19186462|A/short-tailed_shearwaters/Minnesota/23-025002-003/2023|H5N1|USA-MN|2023-07-19|wild_avian|A3</t>
  </si>
  <si>
    <t>EPI_ISL_19776018|A/Red-tailed_Hawk/BC/FAV-0015-22/2024|H5N1|Canada-BC|2023-11-10|wild_avian|A3</t>
  </si>
  <si>
    <t>EPI_ISL_19776158|A/Cackling_Goose/BC/OTH-0049-4/2024|H5N1|Canada-BC|2024-01-05|wild_avian|A3</t>
  </si>
  <si>
    <t>EPI_ISL_19776048|A/Gull/BC/FAV-0015-48/2024|H5N1|Canada-BC|2023-11-14|wild_avian|A3</t>
  </si>
  <si>
    <t>EPI_ISL_19776106|A/Coopers_Hawk/BC/FAV-0015-45/2024|H5N1|Canada-BC|2023-11-29|wild_avian|A3</t>
  </si>
  <si>
    <t>EPI_ISL_19776110|A/Great_Horned_Owl/AB/FAV-0046-1/2024|H5N1|Canada-AB|2023-12-01|wild_avian|A3</t>
  </si>
  <si>
    <t>EPI_ISL_19776187|A/Great_Horned_Owl/BC/OTH-0049-13/2024|H5N1|Canada-BC|2024-01-25|wild_avian|A3</t>
  </si>
  <si>
    <t>EPI_ISL_19776003|A/Barred_Owl/BC/FAV-0015-21/2024|H5N1|Canada-BC|2023-11-09|wild_avian|A3</t>
  </si>
  <si>
    <t>EPI_ISL_19776030|A/American_Wigeon/BC/FAV-0432-21/2023|H5N1|Canada-BC|2023-11-14|wild_avian|A3</t>
  </si>
  <si>
    <t>EPI_ISL_19776068|A/Peregrine_Falcon/BC/FAV-0015-46/2024|H5N1|Canada-BC|2023-11-19|wild_avian|A3</t>
  </si>
  <si>
    <t>EPI_ISL_19776031|A/American_Wigeon/BC/FAV-0432-22/2023|H5N1|Canada-BC|2023-11-14|wild_avian|A3</t>
  </si>
  <si>
    <t>EPI_ISL_19776181|A/Bald_Eagle/BC/OTH-0049-9/2024|H5N1|Canada-BC|2024-01-20|wild_avian|A3</t>
  </si>
  <si>
    <t>EPI_ISL_19776097|A/Barred_Owl/BC/FAV-0015-44/2024|H5N1|Canada-BC|2023-11-29|wild_avian|A3</t>
  </si>
  <si>
    <t>EPI_ISL_19710882|A/Duck/BC/FAV-0342-12022|H5N1|Duck|2023-11-06|domestic_avian|A3</t>
  </si>
  <si>
    <t>EPI_ISL_19710945|A/Chicken/BC/FAV-0437-2/2023|H5N1|Canada-BC|2023-12-07|domestic_avian|A3</t>
  </si>
  <si>
    <t>EPI_ISL_19186532|A/common_murre/Alaska/23-027066-011/2023|H5N1|USA-AK|2023-08-01|wild_avian|A3</t>
  </si>
  <si>
    <t>EPI_ISL_19186499|A/common_murre/Alaska/23-027066-002/2023|H5N1|USA-AK|2023-08-01|wild_avian|A3</t>
  </si>
  <si>
    <t>EPI_ISL_19186564|A/common_murre/Alaska/23-027066-013/2023|H5N1|USA-AK|2023-08-01|wild_avian|A3</t>
  </si>
  <si>
    <t>EPI_ISL_19710915|A/Turkey/BC/FAV-0386-1/2023|H5N1|Canada-BC|2023-11-16|domestic_avian|A3</t>
  </si>
  <si>
    <t>EPI_ISL_19710881|A/Chicken/BC/FAV-0347-2/2023|H5N1|Canada-BC|2023-11-06|domestic_avian|A3</t>
  </si>
  <si>
    <t>EPI_ISL_19710880|A/Chicken/BC/FAV-0347-1/2023|H5N1|Canada-BC|2023-11-06|domestic_avian|A3</t>
  </si>
  <si>
    <t>EPI_ISL_19710944|A/Chicken/BC/FAV-0437-1/2023|H5N1|Canada-BC|2023-12-07|domestic_avian|A3</t>
  </si>
  <si>
    <t>EPI_ISL_19710886|A/Chicken/BC/FAV-0349-1/2023|H5N1|Canada-BC|2023-11-07|domestic_avian|A3</t>
  </si>
  <si>
    <t>EPI_ISL_19710889|A/Chicken/BC/FAV-0350-2/2023|H5N1|Canada-BC|2023-11-08|domestic_avian|A3</t>
  </si>
  <si>
    <t>EPI_ISL_19710887|A/Chicken/BC/FAV-0349-2/2023|H5N1|Canada-BC|2023-11-07|domestic_avian|A3</t>
  </si>
  <si>
    <t>EPI_ISL_19710916|A/Turkey/BC/FAV-0386-2/2023|H5N1|Canada-BC|2023-11-16|domestic_avian|A3</t>
  </si>
  <si>
    <t>EPI_ISL_19186531|A/common_murre/Alaska/23-027066-010/2023|H5N1|USA-AK|2023-08-01|wild_avian|A3</t>
  </si>
  <si>
    <t>EPI_ISL_19776204|A/Green-Winged_Teal/BC/OTH-0049-16/2024|H5N1|Canada-BC|2024-02-02|wild_avian|A3</t>
  </si>
  <si>
    <t>EPI_ISL_19154703|A/Black-billed_Magpie/AB/FAV-1655-1/2022|H5N1|Canada-AB|2022-11-14|wild_avian|A3</t>
  </si>
  <si>
    <t>EPI_ISL_19154711|A/Wood_Duck/BC/FAV-0053-7/2022|H5N1|Canada-BC|2022-11-14|wild_avian|A3</t>
  </si>
  <si>
    <t>EPI_ISL_19154868|A/Red-tailed_Hawk/BC/FAV-0053-38/2022|H5N1|Canada-BC|2022-11-26|wild_avian|A3</t>
  </si>
  <si>
    <t>EPI_ISL_19155025|A/Coopers_Hawk/BC/FAV-0053-39/2022|H5N1|Canada-BC|2022-12-01|wild_avian|A3</t>
  </si>
  <si>
    <t>EPI_ISL_18665526|A/Striped_Skunk/BC/AIVPHL-972/2023|H5N1|Canada-BC|2023-03-06|other_mammal|A3</t>
  </si>
  <si>
    <t>EPI_ISL_18665532|A/Striped_Skunk/BC/AIVPHL-976/2023|H5N1|Canada-BC|2023-03-09|other_mammal|A3</t>
  </si>
  <si>
    <t>EPI_ISL_19155187|A/Striped_Skunk/BC/FAV-0091-3/2023|H5N1|Canada-BC|2023-02-26|other_mammal|A3</t>
  </si>
  <si>
    <t>EPI_ISL_18665529|A/Striped_Skunk/BC/AIVPHL-975/2023|H5N1|Canada-BC|2023-03-06|other_mammal|A3</t>
  </si>
  <si>
    <t>EPI_ISL_18665521|A/Red_Tailed_Hawk/BC/AIVPHL-1372/2023|H5N1|Canada-BC|2023-11-03|wild_avian|A3</t>
  </si>
  <si>
    <t>EPI_ISL_18665535|A/Striped_Skunk/BC/AIVPHL-977/2023|H5N1|Canada-BC|2023-03-09|other_mammal|A3</t>
  </si>
  <si>
    <t>EPI_ISL_19158209|A/bald_eagle/Alaska/22-035250-002/2022|H5N1|USA-AK|2022|wild_avian|A3</t>
  </si>
  <si>
    <t>EPI_ISL_19158210|A/bald_eagle/Alaska/22-035250-001/2022|H5N1|USA-AK|2022|wild_avian|A3</t>
  </si>
  <si>
    <t>EPI_ISL_20208405|A/Chicken/AB/FAV-0288-2/2024|H5N1|Canada-AB|2024-11-07|domestic_avian|A3</t>
  </si>
  <si>
    <t>EPI_ISL_19158237|A/northern_pintail/Alaska/IZ22_0335/2022|H5N1|USA-AK|2022-09-14|wild_avian|A3</t>
  </si>
  <si>
    <t>EPI_ISL_18665594|A/Mallard/BC/AIVPHL-1484/2023|H5N1|Canada-BC|2023-12-08|wild_avian|A3</t>
  </si>
  <si>
    <t>EPI_ISL_19158270|A/northern_pintail/Alaska/IZ22_0783/2022|H5N1|USA-AK|2022-09-30|wild_avian|A3</t>
  </si>
  <si>
    <t>EPI_ISL_18665608|A/Great_Blue_Heron/BC/AIVPHL-1417/2023|H5N1|Canada-BC|2023-11-20|wild_avian|A3</t>
  </si>
  <si>
    <t>EPI_ISL_18665641|A/Glaucous_Winged_Gull/BC/AIVPHL-1426/2023|H5N1|Canada-BC|2023-11-20|wild_avian|A3</t>
  </si>
  <si>
    <t>EPI_ISL_18665596|A/American_Wigeon/BC/AIVPHL-1410/2023|H5N1|Canada-BC|2023-11-14|wild_avian|A3</t>
  </si>
  <si>
    <t>EPI_ISL_19158260|A/red_fox/Alaska/22-016300-001/2022|H5N1|USA-AK|2022-05-10|other_mammal|A3</t>
  </si>
  <si>
    <t>EPI_ISL_20208406|A/Chicken/AB/FAV-0353/2024|H5N1|Canada-AB|2024-11-14|domestic_avian|A3</t>
  </si>
  <si>
    <t>EPI_ISL_18698938|A/chicken/Alaska/23-032967-001/2023|H5N1|USA-AK|2023-10-27|domestic_avian|A3</t>
  </si>
  <si>
    <t>EPI_ISL_20208436|A/Red-Tailed_Hawk/ON/FAV-0044-7/2025|H5N1|Canada-ON|2025-01-17|wild_avian|A3</t>
  </si>
  <si>
    <t>EPI_ISL_18665621|A/American_Wigeon/BC/AIVPHL-1420/2023|H5N1|Canada-BC|2023-11-20|wild_avian|A3</t>
  </si>
  <si>
    <t>EPI_ISL_18665539|A/Canada_Goose/BC/AIVPHL-1386/2023|H5N1|Canada-BC|2023-11-07|wild_avian|A3</t>
  </si>
  <si>
    <t>EPI_ISL_18698942|A/chicken/Alaska/23-032968-001/2023|H5N1|USA-AK|2023-10-27|domestic_avian|A3</t>
  </si>
  <si>
    <t>EPI_ISL_20208440|A/Rosss_Goose/SK/FAV-0407-4/2024|H5N1|Canada-SK|2024-10-21|wild_avian|A3</t>
  </si>
  <si>
    <t>EPI_ISL_19158241|A/northern_pintail/Alaska/IZ22_0637/2022|H5N1|USA-AK|2022-09-28|wild_avian|A3</t>
  </si>
  <si>
    <t>EPI_ISL_18665580|A/Great_Horned_Owl/BC/AIVPHL-1037/2023|H5N1|Canada-BC|2023-03-31|wild_avian|A3</t>
  </si>
  <si>
    <t>EPI_ISL_19158267|A/northern_pintail/Alaska/IZ22_0809/2022|H5N1|USA-AK|2022-10-02|wild_avian|A3</t>
  </si>
  <si>
    <t>EPI_ISL_18665542|A/Great_Horned_Owl/BC/AIVPHL-1388/2023|H5N1|Canada-BC|2023-11-08|wild_avian|A3</t>
  </si>
  <si>
    <t>EPI_ISL_18665578|A/Cooper_s_Hawk/BC/AIVPHL-893/2023|H5N1|Canada-BC|2023-01-16|wild_avian|A3</t>
  </si>
  <si>
    <t>EPI_ISL_18698940|A/domestic_goose/Alaska/23-032967-002/2023|H5N1|USA-AK|2023-10-27|domestic_avian|A3</t>
  </si>
  <si>
    <t>EPI_ISL_18665689|A/Red_Tailed_Hawk/BC/AIVPHL-1450/2023|H5N1|Canada-BC|2023-11-27|wild_avian|A3</t>
  </si>
  <si>
    <t>EPI_ISL_19158238|A/northern_pintail/Alaska/IZ22_0333/2022|H5N1|USA-AK|2022-09-14|wild_avian|A3</t>
  </si>
  <si>
    <t>EPI_ISL_18665597|A/Cooper_s_Hawk/BC/AIVPHL-1498/2023|H5N1|Canada-BC|2023-12-11|wild_avian|A3</t>
  </si>
  <si>
    <t>EPI_ISL_18665600|A/Peregrine_Falcon/BC/AIVPHL-1499/2023|H5N1|Canada-BC|2023-12-11|wild_avian|A3</t>
  </si>
  <si>
    <t>EPI_ISL_18665546|A/Great_Horned_Owl/BC/AIVPHL-853/2022|H5N1|Canada-BC|2022-12-19|wild_avian|A3</t>
  </si>
  <si>
    <t>EPI_ISL_18665599|A/American_Wigeon/BC/AIVPHL-1411/2023|H5N1|Canada-BC|2023-11-14|wild_avian|A3</t>
  </si>
  <si>
    <t>EPI_ISL_18665607|A/Red_Tailed_Hawk/BC/AIVPHL-1236/2023|H5N1|Canada-BC|2023-07-24|wild_avian|A3</t>
  </si>
  <si>
    <t>EPI_ISL_19158266|A/northern_pintail/Alaska/IZ22_0812/2022|H5N1|USA-AK|2022-10-02|wild_avian|A3</t>
  </si>
  <si>
    <t>EPI_ISL_18698983|A/domestic_goose/Alaska/23-034050-002/2023|H5N1|USA-AK|2023-11-03|domestic_avian|A3</t>
  </si>
  <si>
    <t>EPI_ISL_18665656|A/Canada_Goose/BC/AIVPHL-1443/2023|H5N1|Canada-BC|2023-11-24|wild_avian|A3</t>
  </si>
  <si>
    <t>EPI_ISL_19158268|A/northern_pintail/Alaska/IZ22_0800/2022|H5N1|USA-AK|2022-09-30|wild_avian|A3</t>
  </si>
  <si>
    <t>EPI_ISL_20208453|A/Tundra_Swan/ON/FAV-0443-3/2024|H5N1|Canada-ON|2024-12-08|wild_avian|A3</t>
  </si>
  <si>
    <t>EPI_ISL_18698941|A/guinea_fowl/Alaska/23-032967-003/2023|H5N1|USA-AK|2023-10-27|domestic_avian|A3</t>
  </si>
  <si>
    <t>EPI_ISL_18698982|A/chicken/Alaska/23-034050-001/2023|H5N1|USA-AK|2023-11-03|domestic_avian|A3</t>
  </si>
  <si>
    <t>EPI_ISL_20208382|A/American_Crow/BC/OTH-0112-121/2024|H5N1|Canada-BC|2024-11-05|wild_avian|A3</t>
  </si>
  <si>
    <t>EPI_ISL_20208380|A/American_Black_Duck/ON/FAV-0059-25/2025|H5N1|Canada-ON|2024-12-29|wild_avian|A3</t>
  </si>
  <si>
    <t>EPI_ISL_19260826|A/chicken/Oregon/23-039384-001-original/2023|H5N1|USA-OR|2023-12-12|domestic_avian|A3</t>
  </si>
  <si>
    <t>EPI_ISL_18737534|A/domestic_goose/California/23-037681-002/2023|H5N1|USA-CA|2023-11-28|domestic_avian|A3</t>
  </si>
  <si>
    <t>EPI_ISL_18737516|A/domestic_goose/California/23-037845-006/2023|H5N1|USA-CA|2023-11-28|domestic_avian|A3</t>
  </si>
  <si>
    <t>EPI_ISL_18737507|A/domestic_duck/California/23-037845-002/2023|H5N1|USA-CA|2023-11-28|domestic_avian|A3</t>
  </si>
  <si>
    <t>EPI_ISL_18737533|A/domestic_duck/California/23-037681-001/2023|H5N1|USA-CA|2023-11-28|domestic_avian|A3</t>
  </si>
  <si>
    <t>EPI_ISL_19788002|A/Gull/BC/AIVPHL-3399/2022|H5N1|Canada-BC|2022-11-23|wild_avian|A3</t>
  </si>
  <si>
    <t>EPI_ISL_19788001|A/Red_Tailed_Hawk/BC/AIVPHL-3168/2022|H5N1|Canada-BC|2022-11-09|wild_avian|A3</t>
  </si>
  <si>
    <t>SRR32254436|A/bald_eagle/United_States/25-000778-001/2025||USA|2025|wild_avian|A3</t>
  </si>
  <si>
    <t>SRR32254442|A/red_tailed_hawk/United_States/25-001425-001/2025||USA|2025|wild_avian|A3</t>
  </si>
  <si>
    <t>SRR32006901|A/Pheasant/SC/24-039001-001-original/2024|Influenza_A_virus|USA-SC|2024-12-26|domestic_avian|A3</t>
  </si>
  <si>
    <t>SRR31959962|A/Guineafowl/MO/24-038546-002-original/2024|H5N1|USA-MO|2024-12-20|domestic_avian|A3</t>
  </si>
  <si>
    <t>SRR31959995|A/Guineafowl/MO/24-038441-003-original/2024|H5N1|USA-MO|2024-12-20|domestic_avian|A3</t>
  </si>
  <si>
    <t>SRR24843105|A/haliaeetus_leucocephalus/Alaska/22-013001-001/2022|H5N1|USA-AK|2022-04-21|wild_avian|A3</t>
  </si>
  <si>
    <t>SRR24842840|A/haliaeetus_leucocephalus/Alaska/22-013831-001/2022|H5N1|USA-AK|2022-04-27|wild_avian|A3</t>
  </si>
  <si>
    <t>SRR32513266|A/mallard/United_States/25-003141-009/2025||USA|2025|wild_avian|A3</t>
  </si>
  <si>
    <t>SRR32513267|A/mallard/United_States/25-003141-008/2025||USA|2025|wild_avian|A3</t>
  </si>
  <si>
    <t>SRR32512613|A/bald_eagle/United_States/25-004135-002/2025||USA|2025|wild_avian|A3</t>
  </si>
  <si>
    <t>SRR32512672|A/american_wigeon/United_States/25-004135-009/2025||USA|2025|wild_avian|A3</t>
  </si>
  <si>
    <t>SRR34270263|A/red_fox/United_States/24-028269-001/2024||USA|2024|other_mammal|A3</t>
  </si>
  <si>
    <t>SRR36162682|A/northern_pintail/United_States/25G03288-001/2025||USA|2025|wild_avian|A3</t>
  </si>
  <si>
    <t>SRR36406336|A/Red-tailed_Hawk/CA/25G04005-001-original/2025||USA-CA|2025-11-05|wild_avian|A3</t>
  </si>
  <si>
    <t>SRR36406379|A/Mallard_Duck/AK/25G04579-060-original/2025||USA-AK|2025-11-14|wild_avian|A3</t>
  </si>
  <si>
    <t>SRR36406382|A/Mallard_Duck/AK/25G04579-054-original/2025||USA-AK|2025-11-14|wild_avian|A3</t>
  </si>
  <si>
    <t>SRR36406386|A/Mallard_Duck/AK/25G04579-042-original/2025||USA-AK|2025-11-14|wild_avian|A3</t>
  </si>
  <si>
    <t>SRR36406401|A/Gull/OR/25G04576-001-original/2025||USA-OR|2025-11-19|wild_avian|A3</t>
  </si>
  <si>
    <t>SRR36406402|A/Gull/OR/25G04575-001-original/2025||USA-OR|2025-11-19|wild_avian|A3</t>
  </si>
  <si>
    <t>SRR36406403|A/Gull/OR/25G04574-001-original/2025||USA-OR|2025-11-19|wild_avian|A3</t>
  </si>
  <si>
    <t>SRR36628554|A/green_winged_teal/United_States/24-032525-001/2024||USA|2024|wild_avian|A3</t>
  </si>
  <si>
    <t>SRR36628754|A/green_winged_teal/United_States/25-000649-009/2024||USA|2024|wild_avian|A3</t>
  </si>
  <si>
    <t>SRR36628416|A/gadwall/United_States/24-038543-072/2024||USA|2024|wild_avian|A3</t>
  </si>
  <si>
    <t>SRR36628417|A/canada_goose/United_States/24-038291-012/2024||USA|2024|wild_avian|A3</t>
  </si>
  <si>
    <t>SRR36627898|A/canada_goose/United_States/25-001449-003/2024||USA|2024|wild_avian|A3</t>
  </si>
  <si>
    <t>SRR36628091|A/green_winged_teal/United_States/23-039644-002/2023||USA|2023-03-01|wild_avian|A3</t>
  </si>
  <si>
    <t>SRR36628109|A/bald_eagle/United_States/23-037438-001/2023||USA|2023-03-01|wild_avian|A3</t>
  </si>
  <si>
    <t>SRR36627836|A/mallard_duck/United_States/23-040978-008/2023||USA|2023-03-01|wild_avian|A3</t>
  </si>
  <si>
    <t>SRR36617917|A/gadwall/United_States/24-035166-001/2024||USA|2024|wild_avian|A3</t>
  </si>
  <si>
    <t>SRR36617928|A/gadwall/United_States/24-035153-017/2024||USA|2024|wild_avian|A3</t>
  </si>
  <si>
    <t>SRR36617743|A/greater_scaup/United_States/24-034544-003/2024||USA|2024|wild_avian|A3</t>
  </si>
  <si>
    <t>SRR36617946|A/hawk/United_States/24-034155-001/2024||USA|2024|wild_avian|A3</t>
  </si>
  <si>
    <t>SRR36617947|A/trumpeter_swan/United_States/25-000124-001/2024||USA|2024|wild_avian|A3</t>
  </si>
  <si>
    <t>SRR36617957|A/glaucous_gull/United_States/24-034063-001/2024||USA|2024|wild_avian|A3</t>
  </si>
  <si>
    <t>SRR36617987|A/greater_scaup/United_States/24-038856-009/2024||USA|2024|wild_avian|A3</t>
  </si>
  <si>
    <t>SRR36617990|A/green_winged_teal/United_States/24-033894-003/2024||USA|2024|wild_avian|A3</t>
  </si>
  <si>
    <t>SRR36617994|A/red_tailed_hawk/United_States/24-038838-001/2024||USA|2024|wild_avian|A3</t>
  </si>
  <si>
    <t>SRR36617539|A/green_winged_teal/United_States/25-002457-002/2024||USA|2024|wild_avian|A3</t>
  </si>
  <si>
    <t>SRR36617541|A/green_winged_teal/United_States/25-002442-003/2024||USA|2024|wild_avian|A3</t>
  </si>
  <si>
    <t>SRR36617545|A/mallard_duck/United_States/24-034964-006/2024||USA|2024|wild_avian|A3</t>
  </si>
  <si>
    <t>SRR36617570|A/gadwall/United_States/24-034554-001/2024||USA|2024|wild_avian|A3</t>
  </si>
  <si>
    <t>SRR36617574|A/mallard_duck/United_States/25-000644-002/2024||USA|2024|wild_avian|A3</t>
  </si>
  <si>
    <t>SRR36617581|A/american_wigeon/United_States/24-034553-014/2024||USA|2024|wild_avian|A3</t>
  </si>
  <si>
    <t>SRR36617592|A/mallard_duck/United_States/24-038554-004/2024||USA|2024|wild_avian|A3</t>
  </si>
  <si>
    <t>SRR36617596|A/gadwall/United_States/24-038543-077/2024||USA|2024|wild_avian|A3</t>
  </si>
  <si>
    <t>SRR36617597|A/gadwall/United_States/24-038543-076/2024||USA|2024|wild_avian|A3</t>
  </si>
  <si>
    <t>SRR36617620|A/northern_pintail/United_States/24-037862-003/2024||USA|2024|wild_avian|A3</t>
  </si>
  <si>
    <t>SRR36617644|A/canada_goose/United_States/24-037683-003/2024||USA|2024|wild_avian|A3</t>
  </si>
  <si>
    <t>SRR36617645|A/canada_goose/United_States/24-037683-002/2024||USA|2024|wild_avian|A3</t>
  </si>
  <si>
    <t>SRR36617651|A/american_wigeon/United_States/24-030721-001/2024||USA|2024|wild_avian|A3</t>
  </si>
  <si>
    <t>SRR36617664|A/great_horned_owl/United_States/24-037564-001/2024||USA|2024|wild_avian|A3</t>
  </si>
  <si>
    <t>SRR36617671|A/bald_eagle/United_States/24-037539-001/2024||USA|2024|wild_avian|A3</t>
  </si>
  <si>
    <t>SRR36617677|A/gull/United_States/24-037519-003/2024||USA|2024|wild_avian|A3</t>
  </si>
  <si>
    <t>SRR36617688|A/ring_necked_duck/United_States/24-035695-006/2024||USA|2024|wild_avian|A3</t>
  </si>
  <si>
    <t>SRR36617699|A/mallard_duck/United_States/24-035692-002/2024||USA|2024|wild_avian|A3</t>
  </si>
  <si>
    <t>SRR36617717|A/great_horned_owl/United_States/25-000399-001/2024||USA|2024|wild_avian|A3</t>
  </si>
  <si>
    <t>SRR36617720|A/gadwall/United_States/24-034551-058/2024||USA|2024|wild_avian|A3</t>
  </si>
  <si>
    <t>SRR36617731|A/gadwall/United_States/24-034551-056/2024||USA|2024|wild_avian|A3</t>
  </si>
  <si>
    <t>SRR36617793|A/ring_necked_duck/United_States/24-038064-006/2024||USA|2024|wild_avian|A3</t>
  </si>
  <si>
    <t>SRR36617794|A/tundra_swan/United_States/24-038039-001/2024||USA|2024|wild_avian|A3</t>
  </si>
  <si>
    <t>SRR36617678|A/wild_goose/United_States/24-037519-002/2024||USA|2024|wild_avian|A3</t>
  </si>
  <si>
    <t>SRR36617807|A/canada_goose/United_States/24-037519-001/2024||USA|2024|wild_avian|A3</t>
  </si>
  <si>
    <t>SRR36617818|A/great_horned_owl/United_States/24-037403-001/2024||USA|2024|wild_avian|A3</t>
  </si>
  <si>
    <t>SRR36617820|A/tundra_swan/United_States/24-037346-002/2024||USA|2024|wild_avian|A3</t>
  </si>
  <si>
    <t>SRR36617821|A/canada_goose/United_States/24-037346-001/2024||USA|2024|wild_avian|A3</t>
  </si>
  <si>
    <t>SRR36617827|A/snow_goose/United_States/24-037289-005/2024||USA|2024|wild_avian|A3</t>
  </si>
  <si>
    <t>SRR36617828|A/snow_goose/United_States/24-037289-001/2024||USA|2024|wild_avian|A3</t>
  </si>
  <si>
    <t>SRR36617836|A/great_horned_owl/United_States/24-036855-001/2024||USA|2024|wild_avian|A3</t>
  </si>
  <si>
    <t>SRR36617837|A/ring_necked_duck/United_States/24-036854-001/2024||USA|2024|wild_avian|A3</t>
  </si>
  <si>
    <t>SRR36617843|A/tundra_swan/United_States/24-036676-001/2024||USA|2024|wild_avian|A3</t>
  </si>
  <si>
    <t>SRR36617847|A/great_horned_owl/United_States/24-036617-001/2024||USA|2024|wild_avian|A3</t>
  </si>
  <si>
    <t>SRR36617860|A/canada_goose/United_States/24-036501-001/2024||USA|2024|wild_avian|A3</t>
  </si>
  <si>
    <t>SRR36617228|A/green_winged_teal/United_States/24-031815-002/2024||USA|2024|wild_avian|A3</t>
  </si>
  <si>
    <t>SRR36617229|A/great_horned_owl/United_States/24-038292-002/2024||USA|2024|wild_avian|A3</t>
  </si>
  <si>
    <t>SRR36617230|A/great_horned_owl/United_States/24-038292-001/2024||USA|2024|wild_avian|A3</t>
  </si>
  <si>
    <t>SRR36617239|A/american_crow/United_States/24-037903-002/2024||USA|2024|wild_avian|A3</t>
  </si>
  <si>
    <t>SRR36617256|A/northern_pintail/United_States/24-037862-016/2024||USA|2024|wild_avian|A3</t>
  </si>
  <si>
    <t>SRR36617267|A/mallard_duck/United_States/24-036149-001/2024||USA|2024|wild_avian|A3</t>
  </si>
  <si>
    <t>SRR36617271|A/bald_eagle/United_States/24-035924-001/2024||USA|2024|wild_avian|A3</t>
  </si>
  <si>
    <t>SRR36617275|A/lesser_scaup/United_States/24-035773-021/2024||USA|2024|wild_avian|A3</t>
  </si>
  <si>
    <t>SRR36617276|A/ring_necked_duck/United_States/24-035773-005/2024||USA|2024|wild_avian|A3</t>
  </si>
  <si>
    <t>SRR36617277|A/ring_necked_duck/United_States/24-035772-025/2024||USA|2024|wild_avian|A3</t>
  </si>
  <si>
    <t>SRR36617278|A/ring_necked_duck/United_States/24-035772-006/2024||USA|2024|wild_avian|A3</t>
  </si>
  <si>
    <t>SRR36617279|A/ring_necked_duck/United_States/24-035772-002/2024||USA|2024|wild_avian|A3</t>
  </si>
  <si>
    <t>SRR36617280|A/northern_shoveler/United_States/24-035744-006/2024||USA|2024|wild_avian|A3</t>
  </si>
  <si>
    <t>SRR36617281|A/northern_pintail/United_States/24-035712-006/2024||USA|2024|wild_avian|A3</t>
  </si>
  <si>
    <t>SRR36617282|A/wood_duck/United_States/24-035710-002/2024||USA|2024|wild_avian|A3</t>
  </si>
  <si>
    <t>SRR36617293|A/green_winged_teal/United_States/24-035710-001/2024||USA|2024|wild_avian|A3</t>
  </si>
  <si>
    <t>SRR36617323|A/ring_necked_duck/United_States/24-034931-003/2024||USA|2024|wild_avian|A3</t>
  </si>
  <si>
    <t>SRR36617345|A/green_winged_teal/United_States/24-034931-001/2024||USA|2024|wild_avian|A3</t>
  </si>
  <si>
    <t>SRR36617356|A/canada_goose/United_States/24-034882-001/2024||USA|2024|wild_avian|A3</t>
  </si>
  <si>
    <t>SRR36617376|A/wild_duck/United_States/24-032137-004/2024||USA|2024|wild_avian|A3</t>
  </si>
  <si>
    <t>SRR36617383|A/canada_goose/United_States/24-038507-001/2024||USA|2024|wild_avian|A3</t>
  </si>
  <si>
    <t>SRR36617399|A/green_winged_teal/United_States/24-031815-001/2024||USA|2024|wild_avian|A3</t>
  </si>
  <si>
    <t>SRR36617498|A/great_horned_owl/United_States/24-035673-001/2024||USA|2024|wild_avian|A3</t>
  </si>
  <si>
    <t>SRR36617502|A/northern_pintail/United_States/25-005748-001/2024||USA|2024|wild_avian|A3</t>
  </si>
  <si>
    <t>SRR36617509|A/bald_eagle/United_States/24-035390-001/2024||USA|2024|wild_avian|A3</t>
  </si>
  <si>
    <t>SRR36617523|A/redhead_duck/United_States/24-035153-013/2024||USA|2024|wild_avian|A3</t>
  </si>
  <si>
    <t>SRR36617534|A/great_horned_owl/United_States/24-035127-002/2024||USA|2024|wild_avian|A3</t>
  </si>
  <si>
    <t>SRR36617537|A/green_winged_teal/United_States/25-002459-007/2024||USA|2024|wild_avian|A3</t>
  </si>
  <si>
    <t>SRR36614922|A/red_tailed_hawk/United_States/24-000753-001/2023||USA|2023-03-01|wild_avian|A3</t>
  </si>
  <si>
    <t>SRR36614923|A/western_gull/United_States/24-000752-002/2023||USA|2023-03-01|wild_avian|A3</t>
  </si>
  <si>
    <t>SRR36614924|A/turkey_vulture/United_States/24-000749-001/2023||USA|2023-03-01|wild_avian|A3</t>
  </si>
  <si>
    <t>SRR36614932|A/falcon/United_States/23-039191-001/2023||USA|2023-03-01|wild_avian|A3</t>
  </si>
  <si>
    <t>SRR36614937|A/cackling_goose/United_States/23-033091-001/2023||USA|2023-03-01|wild_avian|A3</t>
  </si>
  <si>
    <t>SRR36614986|A/american_wigeon/United_States/23-032793-004/2023||USA|2023-03-01|wild_avian|A3</t>
  </si>
  <si>
    <t>SRR36614995|A/american_wigeon/United_States/23-035569-016/2023||USA|2023-03-01|wild_avian|A3</t>
  </si>
  <si>
    <t>SRR36614997|A/mallard_duck/United_States/23-035569-010/2023||USA|2023-03-01|wild_avian|A3</t>
  </si>
  <si>
    <t>SRR36615020|A/great_horned_owl/United_States/23-034944-001/2023||USA|2023-03-01|wild_avian|A3</t>
  </si>
  <si>
    <t>SRR36615094|A/golden_eagle/United_States/24-005917-001/2024||USA|2024|wild_avian|A3</t>
  </si>
  <si>
    <t>SRR36615153|A/canada_goose/United_States/23-034940-001/2023||USA|2023-03-01|wild_avian|A3</t>
  </si>
  <si>
    <t>SRR36615169|A/american_wigeon/United_States/23-034446-001/2023||USA|2023-03-01|wild_avian|A3</t>
  </si>
  <si>
    <t>SRR36615182|A/herring_gull/United_States/24-000746-001/2023||USA|2023-03-01|wild_avian|A3</t>
  </si>
  <si>
    <t>SRR36615203|A/magpie/United_States/24-000215-004/2023||USA|2023-03-01|wild_avian|A3</t>
  </si>
  <si>
    <t>SRR36615204|A/magpie/United_States/24-000215-003/2023||USA|2023-03-01|wild_avian|A3</t>
  </si>
  <si>
    <t>SRR36615205|A/magpie/United_States/24-000215-002/2023||USA|2023-03-01|wild_avian|A3</t>
  </si>
  <si>
    <t>SRR36615206|A/magpie/United_States/24-000215-001/2023||USA|2023-03-01|wild_avian|A3</t>
  </si>
  <si>
    <t>SRR36615207|A/bald_eagle/United_States/24-000214-001/2023||USA|2023-03-01|wild_avian|A3</t>
  </si>
  <si>
    <t>SRR36615208|A/bald_eagle/United_States/24-000213-001/2023||USA|2023-03-01|wild_avian|A3</t>
  </si>
  <si>
    <t>SRR36614628|A/great_horned_owl/United_States/23-036194-001/2023||USA|2023-03-01|wild_avian|A3</t>
  </si>
  <si>
    <t>SRR36614636|A/lesser_scaup/United_States/23-035662-001/2023||USA|2023-03-01|wild_avian|A3</t>
  </si>
  <si>
    <t>SRR36614670|A/common_raven/United_States/24-016886-002/2024||USA|2024|wild_avian|A3</t>
  </si>
  <si>
    <t>SRR36614683|A/mallard_duck/United_States/24-011853-011/2023||USA|2023-03-01|wild_avian|A3</t>
  </si>
  <si>
    <t>SRR36614684|A/northern_pintail/United_States/24-011853-009/2023||USA|2023-03-01|wild_avian|A3</t>
  </si>
  <si>
    <t>SRR36614685|A/northern_pintail/United_States/24-011853-008/2023||USA|2023-03-01|wild_avian|A3</t>
  </si>
  <si>
    <t>SRR36614686|A/northern_pintail/United_States/24-011853-006/2023||USA|2023-03-01|wild_avian|A3</t>
  </si>
  <si>
    <t>SRR36614687|A/northern_pintail/United_States/24-011853-005/2023||USA|2023-03-01|wild_avian|A3</t>
  </si>
  <si>
    <t>SRR36614700|A/red_tailed_hawk/United_States/24-010161-001/2024||USA|2024|wild_avian|A3</t>
  </si>
  <si>
    <t>SRR36614710|A/mallard_duck/United_States/24-008163-001/2024||USA|2024|wild_avian|A3</t>
  </si>
  <si>
    <t>SRR36614717|A/red_tailed_hawk/United_States/24-007686-001/2024||USA|2024|wild_avian|A3</t>
  </si>
  <si>
    <t>SRR36614757|A/green_winged_teal/United_States/23-034302-013/2023||USA|2023-03-01|wild_avian|A3</t>
  </si>
  <si>
    <t>SRR36614819|A/great_horned_owl/United_States/24-002598-002/2024||USA|2024|wild_avian|A3</t>
  </si>
  <si>
    <t>SRR36614820|A/great_horned_owl/United_States/24-002598-001/2024||USA|2024|wild_avian|A3</t>
  </si>
  <si>
    <t>SRR36614822|A/bald_eagle/United_States/24-002546-001/2023||USA|2023-03-01|wild_avian|A3</t>
  </si>
  <si>
    <t>SRR36614865|A/western_gull/United_States/23-038401-001/2023||USA|2023-03-01|wild_avian|A3</t>
  </si>
  <si>
    <t>SRR36614878|A/great_horned_owl/United_States/23-032825-001/2023||USA|2023-03-01|wild_avian|A3</t>
  </si>
  <si>
    <t>SRR36614671|A/american_crow/United_States/24-016886-001/2024||USA|2024|wild_avian|A3</t>
  </si>
  <si>
    <t>SRR36614416|A/mallard_duck/United_States/23-040979-046/2023||USA|2023-03-01|wild_avian|A3</t>
  </si>
  <si>
    <t>SRR36614417|A/mallard_duck/United_States/23-040979-029/2023||USA|2023-03-01|wild_avian|A3</t>
  </si>
  <si>
    <t>SRR36614419|A/glaucous_gull/United_States/23-040973-001/2023||USA|2023-03-01|wild_avian|A3</t>
  </si>
  <si>
    <t>SRR36614442|A/falcon/United_States/23-039647-001/2023||USA|2023-03-01|wild_avian|A3</t>
  </si>
  <si>
    <t>SRR36614444|A/magpie/United_States/23-039644-001/2023||USA|2023-03-01|wild_avian|A3</t>
  </si>
  <si>
    <t>SRR36614472|A/glaucous_gull/United_States/23-037979-001/2023||USA|2023-03-01|wild_avian|A3</t>
  </si>
  <si>
    <t>SRR36614505|A/american_crow/United_States/24-006986-002/2024||USA|2024|wild_avian|A3</t>
  </si>
  <si>
    <t>SRR36614544|A/turkey_vulture/United_States/24-004078-003/2024||USA|2024|wild_avian|A3</t>
  </si>
  <si>
    <t>SRR36614545|A/common_raven/United_States/24-004078-002/2024||USA|2024|wild_avian|A3</t>
  </si>
  <si>
    <t>SRR36614546|A/great_horned_owl/United_States/24-004076-004/2024||USA|2024|wild_avian|A3</t>
  </si>
  <si>
    <t>SRR36749528|A/mallard_duck/United_States/25G05839-045/2025||USA|2025|wild_avian|A3</t>
  </si>
  <si>
    <t>SRR36749529|A/mallard_duck/United_States/25G05839-025/2025||USA|2025|wild_avian|A3</t>
  </si>
  <si>
    <t>SRR36749531|A/mallard_duck/United_States/25G05839-024/2025||USA|2025|wild_avian|A3</t>
  </si>
  <si>
    <t>SRR36749532|A/mallard_duck/United_States/25G05839-023/2025||USA|2025|wild_avian|A3</t>
  </si>
  <si>
    <t>SRR36749535|A/mallard_duck/United_States/25G05839-020/2025||USA|2025|wild_avian|A3</t>
  </si>
  <si>
    <t>SRR36749537|A/mallard_duck/United_States/25G05839-018/2025||USA|2025|wild_avian|A3</t>
  </si>
  <si>
    <t>SRR36749538|A/mallard_duck/United_States/25G05839-016/2025||USA|2025|wild_avian|A3</t>
  </si>
  <si>
    <t>SRR36749540|A/mallard_duck/United_States/25G05839-013/2025||USA|2025|wild_avian|A3</t>
  </si>
  <si>
    <t>SRR36749542|A/mallard_duck/United_States/25G05839-012/2025||USA|2025|wild_avian|A3</t>
  </si>
  <si>
    <t>SRR36749543|A/mallard_duck/United_States/25G05839-011/2025||USA|2025|wild_avian|A3</t>
  </si>
  <si>
    <t>SRR36749544|A/mallard_duck/United_States/25G05839-010/2025||USA|2025|wild_avian|A3</t>
  </si>
  <si>
    <t>SRR36749552|A/mallard_duck/United_States/25G05839-008/2025||USA|2025|wild_avian|A3</t>
  </si>
  <si>
    <t>SRR36749561|A/mallard_duck/United_States/25G05839-038/2025||USA|2025|wild_avian|A3</t>
  </si>
  <si>
    <t>SRR36749562|A/mallard_duck/United_States/25G05839-037/2025||USA|2025|wild_avian|A3</t>
  </si>
  <si>
    <t>SRR36749564|A/mallard_duck/United_States/25G05839-034/2025||USA|2025|wild_avian|A3</t>
  </si>
  <si>
    <t>SRR36749565|A/mallard_duck/United_States/25G05839-033/2025||USA|2025|wild_avian|A3</t>
  </si>
  <si>
    <t>SRR36749566|A/mallard_duck/United_States/25G05839-032/2025||USA|2025|wild_avian|A3</t>
  </si>
  <si>
    <t>SRR36749568|A/mallard_duck/United_States/25G05839-031/2025||USA|2025|wild_avian|A3</t>
  </si>
  <si>
    <t>SRR36749585|A/mallard_duck/United_States/25G05839-027/2025||USA|2025|wild_avian|A3</t>
  </si>
  <si>
    <t>SRR36749596|A/seagull/United_States/25G05637-006/2025||USA|2025|wild_avian|A3</t>
  </si>
  <si>
    <t>SRR36749602|A/western_gull/United_States/25G05636-003/2025||USA|2025|wild_avian|A3</t>
  </si>
  <si>
    <t>SRR36749605|A/brown_pelican/United_States/25G05636-001/2025||USA|2025|wild_avian|A3</t>
  </si>
  <si>
    <t>SRR36749627|A/mallard_duck/United_States/25G05839-007/2025||USA|2025|wild_avian|A3</t>
  </si>
  <si>
    <t>SRR36749638|A/mallard_duck/United_States/25G05839-005/2025||USA|2025|wild_avian|A3</t>
  </si>
  <si>
    <t>SRR36749660|A/mallard_duck/United_States/25G05839-001/2025||USA|2025|wild_avian|A3</t>
  </si>
  <si>
    <t>SRR36749688|A/western_gull/United_States/25G05881-001/2025||USA|2025|wild_avian|A3</t>
  </si>
  <si>
    <t>SRR36749706|A/mallard_duck/United_States/25G05839-058/2025||USA|2025|wild_avian|A3</t>
  </si>
  <si>
    <t>SRR36749707|A/mallard_duck/United_States/25G05839-057/2025||USA|2025|wild_avian|A3</t>
  </si>
  <si>
    <t>SRR36749710|A/mallard_duck/United_States/25G05839-054/2025||USA|2025|wild_avian|A3</t>
  </si>
  <si>
    <t>SRR36749711|A/mallard_duck/United_States/25G05839-053/2025||USA|2025|wild_avian|A3</t>
  </si>
  <si>
    <t>SRR36749712|A/mallard_duck/United_States/25G05839-052/2025||USA|2025|wild_avian|A3</t>
  </si>
  <si>
    <t>SRR36749714|A/mallard_duck/United_States/25G05839-050/2025||USA|2025|wild_avian|A3</t>
  </si>
  <si>
    <t>SRR36749715|A/mallard_duck/United_States/25G05839-046/2025||USA|2025|wild_avian|A3</t>
  </si>
  <si>
    <t>SRR36749717|A/mallard_duck/United_States/25G05839-044/2025||USA|2025|wild_avian|A3</t>
  </si>
  <si>
    <t>SRR36749720|A/mallard_duck/United_States/25G05839-040/2025||USA|2025|wild_avian|A3</t>
  </si>
  <si>
    <t>SRR36749734|A/raccoon/United_States/25G05693-001/2025||USA|2025|other_mammal|A3</t>
  </si>
  <si>
    <t>SRR36749746|A/seagull/United_States/25G05664-001/2025||USA|2025|wild_avian|A3</t>
  </si>
  <si>
    <t>SRR36749748|A/gull/United_States/25G05662-001/2025||USA|2025|wild_avian|A3</t>
  </si>
  <si>
    <t>SRR36855969|A/Northern_Pintail/AK/25G06439-005-original/2025||USA-AK|2025-09-28|wild_avian|A3</t>
  </si>
  <si>
    <t>SRR36855970|A/Northern_Pintail/AK/25G06439-003-original/2025||USA-AK|2025-09-28|wild_avian|A3</t>
  </si>
  <si>
    <t>SRR36855972|A/Northern_Pintail/AK/25G06439-001-original/2025||USA-AK|2025-09-28|wild_avian|A3</t>
  </si>
  <si>
    <t>SRR36855986|A/Bonaparte's_Gull/CA/25G06502-001-original/2025||USA-CA|2025-12-10|wild_avian|A3</t>
  </si>
  <si>
    <t>SRR36855997|A/Turkey_Vulture/CA/25G06502-004-original/2025||USA-CA|2025-12-10|wild_avian|A3</t>
  </si>
  <si>
    <t>SRR36856015|A/Mallard_Duck/AK/25G06439-004-original/2025||USA-AK|2025-09-28|wild_avian|A3</t>
  </si>
  <si>
    <t>SRR36856024|A/Herring_Gull/OR/25G06201-001-original/2025||USA-OR|2025-11-18|wild_avian|A3</t>
  </si>
  <si>
    <t>SRR36856038|A/Glaucous_Gull/CA/25G06504-001-original/2025||USA-CA|2025-12-10|wild_avian|A3</t>
  </si>
  <si>
    <t>SRR37224130|A/bobcat/United_States/26G01178-001/2026||USA|2026|feline|A3</t>
  </si>
  <si>
    <t>SRR37223796|A/Western_Gull/CA/26G01051-002-original/2026||USA-CA|2026-01-14|wild_avian|A3</t>
  </si>
  <si>
    <t>SRR37292458|A/bald_eagle/United_States/26G01541-002/2026||USA|2026|wild_avian|A3</t>
  </si>
  <si>
    <t>SRR37292542|A/catalina_island_fox/United_States/26G01803-001/2025||USA|2025|other_mammal|A3</t>
  </si>
  <si>
    <t>SRR37292574|A/red_fox/United_States/26G01540-001/2025||USA|2025|other_mammal|A3</t>
  </si>
  <si>
    <t>SRR37376626|A/western_gull/United_States/26G02304-012/2025||USA|2025|wild_avian|A3</t>
  </si>
  <si>
    <t>SRR37376627|A/western_gull/United_States/26G02304-010/2025||USA|2025|wild_avian|A3</t>
  </si>
  <si>
    <t>SRR37376630|A/western_gull/United_States/26G02304-004/2025||USA|2025|wild_avian|A3</t>
  </si>
  <si>
    <t>SRR33319075|A/American_Crow/MI/25-011667-002-original/2025|H5N1|USA-MI|2025-04-04|wild_avian|A3</t>
  </si>
  <si>
    <t>SRR32974039|A/Bald_Eagle/AL/25-008364-001-original/2025|H5N1|USA-AL|2025-03-01|wild_avian|A3</t>
  </si>
  <si>
    <t>SRR32653641|A/Bald_Eagle/NC/25-005228-001-original/2025|H5N1|USA-NC|2025-02-08|wild_avian|A3</t>
  </si>
  <si>
    <t>SRR36212298|A/Common_Raven/AK/25G02279-005-original/2025|H5N1|USA-AK|2025-10-08|wild_avian|A3</t>
  </si>
  <si>
    <t>SRR33508835|A/American_Crow/WI/25-005028-001-original/2025|H5N1|USA-WI|2025-02-06|wild_avian|A3</t>
  </si>
  <si>
    <t>SRR33125062|A/Bald_Eagle/AL/25-006076-001-original/2025|H5N1|USA-AL|2025-02-12|wild_avian|A3</t>
  </si>
  <si>
    <t>SRR33508834|A/Barred_Owl/WI/25-005028-002-original/2025|H5N1|USA-WI|2025-02-06|wild_avian|A3</t>
  </si>
  <si>
    <t>SRR33508778|A/Common_Raven/AK/25-010464-001-original/2025|H5N1|USA-AK|2025-03-17|wild_avian|A3</t>
  </si>
  <si>
    <t>SRR36212293|A/Common_Raven/AK/25G02279-009-original/2025|H5N1|USA-AK|2025-10-08|wild_avian|A3</t>
  </si>
  <si>
    <t>SRR36212290|A/Common_Raven/AK/25G02279-015-original/2025|H5N1|USA-AK|2025-10-08|wild_avian|A3</t>
  </si>
  <si>
    <t>SRR36212289|A/Common_Raven/AK/25G02308-001-original/2025|H5N1|USA-AK|2025-10-08|wild_avian|A3</t>
  </si>
  <si>
    <t>SRR36212287|A/Common_Raven/AK/25G02308-003-original/2025|H5N1|USA-AK|2025-10-08|wild_avian|A3</t>
  </si>
  <si>
    <t>SRR36211710|A/Common_Raven/AK/25G02308-004-original/2025|H5N1|USA-AK|2025-10-08|wild_avian|A3</t>
  </si>
  <si>
    <t>SRR33319053|A/Great_Horned_Owl/NY/25-011423-001-original/2025|H5N1|USA-NY|2025-03-31|wild_avian|A3</t>
  </si>
  <si>
    <t>SRR33508776|A/Red-tailed_Hawk/MN/25-010511-002-original/2025|H5N1|USA-MN|2025-03-22|wild_avian|A3</t>
  </si>
  <si>
    <t>SRR33125127|A/Red-tailed_Hawk/MO/25-004415-008-original/2025|H5N1|USA-MO|2025-01-28|wild_avian|A3</t>
  </si>
  <si>
    <t>SRR36203397|A/Western_Gull/OR/25G03487-001-original/2025|H5N1|USA-OR|2025-11-03|wild_avian|A3</t>
  </si>
  <si>
    <t>SRR33125051|A/Bald_Eagle/AL/25-006076-002-original/2025|H5N1|USA-AL|2025-02-12|wild_avian|A3</t>
  </si>
  <si>
    <t>SRR32974110|A/Bald_Eagle/PA/25-009337-001-original/2025|H5N1|USA-PA|2025-02-27|wild_avian|A3</t>
  </si>
  <si>
    <t>SRR36212295|A/Common_Raven/AK/25G02279-008-original/2025|H5N1|USA-AK|2025-10-08|wild_avian|A3</t>
  </si>
  <si>
    <t>SRR36211709|A/Common_Raven/AK/25G02308-005-original/2025|H5N1|USA-AK|2025-10-08|wild_avian|A3</t>
  </si>
  <si>
    <t>SRR35586520|A/Glaucous_Gull/AK/25-024616-002-original/2025|H5N1|USA-AK|2025-08-20|wild_avian|A3</t>
  </si>
  <si>
    <t>SRR33682325|A/Hawk/OR/25-014764-001-original/2025|H5N1|USA-OR|2025-03-10|wild_avian|A3</t>
  </si>
  <si>
    <t>SRR33125055|A/Mallard/MD/25-005882-003-original/2025|H5N1|USA-MD|2025-01-30|wild_avian|A3</t>
  </si>
  <si>
    <t>SRR33125049|A/Mallard/MD/25-005882-009-original/2025|H5N1|USA-MD|2025-01-30|wild_avian|A3</t>
  </si>
  <si>
    <t>SRR32868867|A/Grackle/OK/25-009017-003-original/2025|H5N1|USA-OK|2025-03-12|wild_avian|A3</t>
  </si>
  <si>
    <t>SRR33508777|A/Red-tailed_Hawk/MN/25-010511-001-original/2025|H5N1|USA-MN|2025-03-21|wild_avian|A3</t>
  </si>
  <si>
    <t>SRR33476775|A/Trumpeter_Swan/IA/25-011816-002-original-repeat/2025|H5N1|USA-IA|2025-04-08|wild_avian|A3</t>
  </si>
  <si>
    <t>SRR33319074|A/American_Crow/MI/25-011667-003-original/2025|H5N1|USA-MI|2025-04-04|wild_avian|A3</t>
  </si>
  <si>
    <t>SRR36212300|A/Common_Raven/AK/25G02279-002-original/2025|H5N1|USA-AK|2025-10-08|wild_avian|A3</t>
  </si>
  <si>
    <t>SRR36212299|A/Common_Raven/AK/25G02279-004-original/2025|H5N1|USA-AK|2025-10-08|wild_avian|A3</t>
  </si>
  <si>
    <t>SRR33125022|A/Crow/OH/25-004431-001-original/2025|H5N1|USA-OH|2025-01-27|wild_avian|A3</t>
  </si>
  <si>
    <t>SRR36212297|A/Common_Raven/AK/25G02279-006-original/2025|H5N1|USA-AK|2025-10-08|wild_avian|A3</t>
  </si>
  <si>
    <t>SRR36212296|A/Common_Raven/AK/25G02279-007-original/2025|H5N1|USA-AK|2025-10-08|wild_avian|A3</t>
  </si>
  <si>
    <t>SRR36212292|A/Common_Raven/AK/25G02279-010-original/2025|H5N1|USA-AK|2025-10-08|wild_avian|A3</t>
  </si>
  <si>
    <t>SRR32804610|A/Fox/ND/25-004517-001-original/2025|H5N1|USA-ND|2025-01-28|other_mammal|A3</t>
  </si>
  <si>
    <t>SRR33125053|A/Mallard/MD/25-005882-006-original/2025|H5N1|USA-MD|2025-01-30|wild_avian|A3</t>
  </si>
  <si>
    <t>SRR36162741|A/Duck/HI/25G02190-001-original/2025|H5N1|USA-HI|2025-10-09|domestic_avian|A3</t>
  </si>
  <si>
    <t>GCA_051519395|A/Gadwall/Tennessee/434/2024|H5N1|USA-TN|2024-12-12|wild_avian|A3</t>
  </si>
  <si>
    <t>GCA_051458515|A/Mallard/Tennessee/767/2025|H5N1|USA-TN|2025-02-13|wild_avian|A3</t>
  </si>
  <si>
    <t>GCA_050380275|A/mallard/USA/IZ23_0851/2023|H5N1|USA-AK|2023-10-09|wild_avian|A3</t>
  </si>
  <si>
    <t>GCA_050380295|A/northern_pintail/USA/IZ23_0847/2023|H5N1|USA-AK|2023-10-09|wild_avian|A3</t>
  </si>
  <si>
    <t>GCA_050380305|A/northern_pintail/USA/IZ23_0849/2023|H5N1|USA-AK|2023-10-09|wild_avian|A3</t>
  </si>
  <si>
    <t>GCA_050381055|A/northern_pintail/USA/IZ24_0474/2024|H5N1|USA-AK|2024-10-01|wild_avian|A3</t>
  </si>
  <si>
    <t>GCA_050381115|A/northern_pintail/USA/IZ24_0570/2024|H5N1|USA-AK|2024-10-06|wild_avian|A3</t>
  </si>
  <si>
    <t>GCA_050309995|A/northern_pintail/USA/IZ24_0636/2024|H5N1|USA-AK|2024-10-08|wild_avian|A3</t>
  </si>
  <si>
    <t>GCA_050381225|A/northern_pintail/USA/IZ24_0787/2024|H5N1|USA-AK|2024-10-19|wild_avian|A3</t>
  </si>
  <si>
    <t>SRR32416476|A/Bald_Eagle/MI/25-003067-004-original/2025|H5N1|USA-MI|2025-01-23|wild_avian|A3</t>
  </si>
  <si>
    <t>SRR32416333|A/Gadwall/SC/25-003031-003-original/2025|H5N1|USA-SC|2025-01-11|wild_avian|A3</t>
  </si>
  <si>
    <t>SRR32416422|A/Mallard/MD/25-003141-002-original/2025|H5N1|USA-MD|2025-01-15|wild_avian|A3</t>
  </si>
  <si>
    <t>SRR32416418|A/Mallard/MD/25-003141-007-original/2025|H5N1|USA-MD|2025-01-15|wild_avian|A3</t>
  </si>
  <si>
    <t>SRR32654089|A/Mallard/MI/25-002663-001-original/2025|H5N1|USA-MI|2025-01-17|wild_avian|A3</t>
  </si>
  <si>
    <t>SRR32654088|A/Mallard/MI/25-002663-004-original/2025|H5N1|USA-MI|2025-01-17|wild_avian|A3</t>
  </si>
  <si>
    <t>SRR32654087|A/Mallard/MI/25-002663-005-original/2025|H5N1|USA-MI|2025-01-17|wild_avian|A3</t>
  </si>
  <si>
    <t>SRR32654086|A/Mallard/MI/25-002663-006-original/2025|H5N1|USA-MI|2025-01-17|wild_avian|A3</t>
  </si>
  <si>
    <t>SRR32654084|A/Mallard/MI/25-002663-007-original/2025|H5N1|USA-MI|2025-01-17|wild_avian|A3</t>
  </si>
  <si>
    <t>SRR32654083|A/Mallard/MI/25-002663-008-original/2025|H5N1|USA-MI|2025-01-17|wild_avian|A3</t>
  </si>
  <si>
    <t>SRR32654082|A/Mallard/MI/25-002663-010-original/2025|H5N1|USA-MI|2025-01-17|wild_avian|A3</t>
  </si>
  <si>
    <t>SRR32654081|A/Mallard/MI/25-002663-011-original/2025|H5N1|USA-MI|2025-01-17|wild_avian|A3</t>
  </si>
  <si>
    <t>SRR32654080|A/Mallard/MI/25-002663-012-original/2025|H5N1|USA-MI|2025-01-17|wild_avian|A3</t>
  </si>
  <si>
    <t>SRR32654079|A/Mallard/MI/25-002663-013-original/2025|H5N1|USA-MI|2025-01-17|wild_avian|A3</t>
  </si>
  <si>
    <t>SRR32654078|A/Mallard/MI/25-002663-014-original/2025|H5N1|USA-MI|2025-01-17|wild_avian|A3</t>
  </si>
  <si>
    <t>SRR32654077|A/Mallard/MI/25-002663-017-original/2025|H5N1|USA-MI|2025-01-17|wild_avian|A3</t>
  </si>
  <si>
    <t>SRR32654072|A/Mallard/MI/25-002663-026-original/2025|H5N1|USA-MI|2025-01-17|wild_avian|A3</t>
  </si>
  <si>
    <t>SRR32654070|A/Mallard/MI/25-002663-030-original/2025|H5N1|USA-MI|2025-01-17|wild_avian|A3</t>
  </si>
  <si>
    <t>SRR32654069|A/Mallard/MI/25-002663-031-original/2025|H5N1|USA-MI|2025-01-17|wild_avian|A3</t>
  </si>
  <si>
    <t>SRR32654068|A/Mallard/MI/25-002663-032-original/2025|H5N1|USA-MI|2025-01-17|wild_avian|A3</t>
  </si>
  <si>
    <t>SRR32654067|A/Mallard/MI/25-002663-033-original/2025|H5N1|USA-MI|2025-01-17|wild_avian|A3</t>
  </si>
  <si>
    <t>SRR32654066|A/Mallard/MI/25-002663-034-original/2025|H5N1|USA-MI|2025-01-17|wild_avian|A3</t>
  </si>
  <si>
    <t>SRR32416446|A/Red-tailed_Hawk/CA/25-003273-004-original/2025|H5N1|USA-CA|2025-01-17|wild_avian|A3</t>
  </si>
  <si>
    <t>SRR32416455|A/Red-tailed_Hawk/WY/25-002203-001-original/2025|H5N1|USA-WY|2025-01-07|wild_avian|A3</t>
  </si>
  <si>
    <t>SRR32416388|A/Turkey_Vulture/CA/25-003487-002-original/2025|H5N1|USA-CA|2025-01-17|wild_avian|A3</t>
  </si>
  <si>
    <t>SRR32416382|A/Western_Gull/CA/25-003273-006-original/2025|H5N1|USA-CA|2025-01-17|wild_avian|A3</t>
  </si>
  <si>
    <t>GCA_048570145|A/green-winged_teal/Florida/W24-974A/2024|H5N1|USA-FL|2024-11-20|wild_avian|A3</t>
  </si>
  <si>
    <t>GCA_048570305|A/tundra_swan/North_Carolina/W24-1035/2024|H5N1|USA-NC|2024-12-03|wild_avian|A3</t>
  </si>
  <si>
    <t>GCA_048569965|A/wood_duck/Florida/W24-974B/2024|H5N1|USA-FL|2024-11-20|wild_avian|A3</t>
  </si>
  <si>
    <t>SRR32125553|A/chicken/DE/25-000536-001-original/2025|H5N1|USA-DE|2025-01-07|domestic_avian|A3</t>
  </si>
  <si>
    <t>SRR32125552|A/chicken/DE/25-000536-002-original/2025|H5N1|USA-DE|2025-01-07|domestic_avian|A3</t>
  </si>
  <si>
    <t>SRR32125551|A/chicken/DE/25-000537-001-original/2025|H5N1|USA-DE|2025-01-08|domestic_avian|A3</t>
  </si>
  <si>
    <t>SRR32125550|A/chicken/DE/25-000537-002-original/2025|H5N1|USA-DE|2025-01-08|domestic_avian|A3</t>
  </si>
  <si>
    <t>SRR32125577|A/chicken/IA/25-000282-001-original/2025|H5N1|USA-IA|2025-01-03|domestic_avian|A3</t>
  </si>
  <si>
    <t>SRR32006895|A/chicken/ID/24-038841-001-original/2024|H5N1|USA-ID|2024-12-23|domestic_avian|A3</t>
  </si>
  <si>
    <t>SRR32006921|A/chicken/MI/24-038976-001-original/2024|H5N1|USA-MI|2024-12-28|domestic_avian|A3</t>
  </si>
  <si>
    <t>SRR31959996|A/chicken/MO/24-038441-002-original/2024|H5N1|USA-MO|2024-12-20|domestic_avian|A3</t>
  </si>
  <si>
    <t>SRR31959963|A/chicken/MO/24-038546-001-original/2024|H5N1|USA-MO|2024-12-20|domestic_avian|A3</t>
  </si>
  <si>
    <t>SRR31959929|A/chicken/WY/24-038661-001-original/2024|H5N1|USA-WY|2024-12-22|domestic_avian|A3</t>
  </si>
  <si>
    <t>SRR31820730|A/Turkey/IA/24-036503-001-original/2024|H5N1|USA-IA|2024-12-07|domestic_avian|A3</t>
  </si>
  <si>
    <t>SRR31820787|A/Turkey/IA/24-036503-002-original/2024|H5N1|USA-IA|2024-12-07|domestic_avian|A3</t>
  </si>
  <si>
    <t>SRR31820764|A/cat/MN/24-036601-001-original/2024|H5N1|USA-MN|2024-12-06|feline|A3</t>
  </si>
  <si>
    <t>SRR31914417|A/Duck/HI/24-034985-001-original/2024|H5N1|USA-HI|2024-11-01|domestic_avian|A3</t>
  </si>
  <si>
    <t>SRR31914416|A/Duck/HI/24-034986-001-original/2024|H5N1|USA-HI|2024-11-17|domestic_avian|A3</t>
  </si>
  <si>
    <t>SRR31914405|A/Duck/HI/24-034987-002-original/2024|H5N1|USA-HI|2024-11-15|domestic_avian|A3</t>
  </si>
  <si>
    <t>SRR31914394|A/Duck/HI/24-034987-004-original/2024|H5N1|USA-HI|2024-11-15|domestic_avian|A3</t>
  </si>
  <si>
    <t>SRR31914383|A/Duck/HI/24-034987-005-original/2024|H5N1|USA-HI|2024-11-15|domestic_avian|A3</t>
  </si>
  <si>
    <t>SRR31914378|A/Duck/HI/24-034987-008-original/2024|H5N1|USA-HI|2024-11-15|domestic_avian|A3</t>
  </si>
  <si>
    <t>SRR31914377|A/Duck/HI/24-034987-010-original/2024|H5N1|USA-HI|2024-11-15|domestic_avian|A3</t>
  </si>
  <si>
    <t>SRR31914374|A/chicken/OR/24-035148-001-original/2024|H5N1|USA-OR|2024-11-18|domestic_avian|A3</t>
  </si>
  <si>
    <t>SRR31914415|A/chicken/OR/24-035148-002-original/2024|H5N1|USA-OR|2024-11-18|domestic_avian|A3</t>
  </si>
  <si>
    <t>SRR31596890|A/Duck/HI/24-033968-001-original/2024|H5N1|USA-HI|2024-11-07|domestic_avian|A3</t>
  </si>
  <si>
    <t>SRR31596889|A/Duck/HI/24-033968-002-original/2024|H5N1|USA-HI|2024-11-07|domestic_avian|A3</t>
  </si>
  <si>
    <t>SRR31596886|A/Duck/MN/24-033969-003-original/2024|H5N1|USA-MN|2024-11-14|domestic_avian|A3</t>
  </si>
  <si>
    <t>SRR31596888|A/Emu/MN/24-033969-001-original/2024|H5N1|USA-MN|2024-11-14|domestic_avian|A3</t>
  </si>
  <si>
    <t>SRR31596887|A/Guinea_Fowl/MN/24-033969-002-original/2024|H5N1|USA-MN|2024-11-14|domestic_avian|A3</t>
  </si>
  <si>
    <t>SRR31596879|A/Pheasant/IL/24-034185-001-original/2024|H5N1|USA-IL|2024-11-15|domestic_avian|A3</t>
  </si>
  <si>
    <t>SRR31596878|A/Pheasant/IL/24-034185-002-original/2024|H5N1|USA-IL|2024-11-15|domestic_avian|A3</t>
  </si>
  <si>
    <t>SRR31596877|A/Pheasant/IL/24-034185-003-original/2024|H5N1|USA-IL|2024-11-15|domestic_avian|A3</t>
  </si>
  <si>
    <t>SRR31596876|A/Pheasant/IL/24-034185-004-original/2024|H5N1|USA-IL|2024-11-15|domestic_avian|A3</t>
  </si>
  <si>
    <t>SRR31596872|A/chicken/ID/24-034633-001-original-repeat/2024|H5N1|USA-ID|2024-11-19|domestic_avian|A3</t>
  </si>
  <si>
    <t>SRR31596871|A/chicken/ID/24-034633-002-original-repeat/2024|H5N1|USA-ID|2024-11-19|domestic_avian|A3</t>
  </si>
  <si>
    <t>SRR31597182|A/Dove/HI/24-033876-005-original/2024|H5N1|USA-HI|2024-11-12|wild_avian|A3</t>
  </si>
  <si>
    <t>SRR31597186|A/Duck/HI/24-033876-001-original/2024|H5N1|USA-HI|2024-11-12|domestic_avian|A3</t>
  </si>
  <si>
    <t>SRR31597185|A/Duck/HI/24-033876-002-original/2024|H5N1|USA-HI|2024-11-12|domestic_avian|A3</t>
  </si>
  <si>
    <t>SRR31597183|A/Duck/HI/24-033876-004-original/2024|H5N1|USA-HI|2024-11-12|domestic_avian|A3</t>
  </si>
  <si>
    <t>SRR31597184|A/goose/HI/24-033876-003-original/2024|H5N1|USA-HI|2024-11-12|domestic_avian|A3</t>
  </si>
  <si>
    <t>GCA_046420255|A/American_crow/WA/22-037636-003-original/2022|H5N1|USA-WA|2022-11-15|wild_avian|A3</t>
  </si>
  <si>
    <t>GCA_046416215|A/American_wigeon/AK/22-034097-007-original-repeat/2022|H5N1|USA-AK|2022-10-01|wild_avian|A3</t>
  </si>
  <si>
    <t>GCA_046405705|A/Bald_eagle/AK/22-015680-001-original/2022|H5N1|USA-AK|2022-05-11|wild_avian|A3</t>
  </si>
  <si>
    <t>GCA_046406075|A/Bald_eagle/AK/22-015682-001-original/2022|H5N1|USA-AK|2022-05-11|wild_avian|A3</t>
  </si>
  <si>
    <t>GCA_046407625|A/Bald_eagle/AK/22-017950-001-original/2022|H5N1|USA-AK|2022-06-02|wild_avian|A3</t>
  </si>
  <si>
    <t>GCA_046422625|A/Bald_eagle/AK/22-040391-003-original/2022|H5N1|USA-AK|2022-12-04|wild_avian|A3</t>
  </si>
  <si>
    <t>GCA_046418115|A/Bald_eagle/AK/22-042131-002-original/2022|H5N1|USA-AK|2022-10-26|wild_avian|A3</t>
  </si>
  <si>
    <t>GCA_046420165|A/Bald_eagle/AK/22-042131-003-original/2022|H5N1|USA-AK|2022-11-17|wild_avian|A3</t>
  </si>
  <si>
    <t>GCA_046422345|A/Bald_eagle/CA/22-041396-003-original/2022|H5N1|USA-CA|2022-12-01|wild_avian|A3</t>
  </si>
  <si>
    <t>GCA_046417095|A/Bald_eagle/CO/22-033430-001-original/2022|H5N1|USA-CO|2022-10-09|wild_avian|A3</t>
  </si>
  <si>
    <t>GCA_046421855|A/Bald_eagle/CO/22-038658-001-original/2022|H5N1|USA-CO|2022-11-28|wild_avian|A3</t>
  </si>
  <si>
    <t>GCA_046424795|A/Bald_eagle/IA/23-000269-001-original/2022|H5N1|USA-IA|2022-12-29|wild_avian|A3</t>
  </si>
  <si>
    <t>GCA_046426435|A/Black_turnstone/CA/23-004359-001-original/2023|H5N1|USA-CA|2023-01-25|wild_avian|A3</t>
  </si>
  <si>
    <t>GCA_046427475|A/Black-legged_kittiwake/AK/23-029675-001-original/2023|H5N1|USA-AK|2023-09-19|wild_avian|A3</t>
  </si>
  <si>
    <t>GCA_046420295|A/Bonaparte's_Gull/CA/22-039721-006-original-3/2022|H5N1|USA-CA|2022-11-16|wild_avian|A3</t>
  </si>
  <si>
    <t>GCA_046426995|A/California_condor/AZ/23-010558-001-original/2023|H5N1|USA-AZ|2023-03-30|wild_avian|A3</t>
  </si>
  <si>
    <t>GCA_046427465|A/California_condor/AZ/23-010675-001-original/2023|H5N1|USA-AZ|2023-03-30|wild_avian|A3</t>
  </si>
  <si>
    <t>GCA_046427005|A/California_condor/AZ/23-010675-002-original/2023|H5N1|USA-AZ|2023-03-30|wild_avian|A3</t>
  </si>
  <si>
    <t>GCA_046427485|A/California_condor/AZ/23-010946-001-original/2023|H5N1|USA-AZ|2023-04-04|wild_avian|A3</t>
  </si>
  <si>
    <t>GCA_046427015|A/California_condor/AZ/23-011580-001-original/2023|H5N1|USA-AZ|2023-04-06|wild_avian|A3</t>
  </si>
  <si>
    <t>GCA_046427505|A/California_condor/AZ/23-011580-002-original/2023|H5N1|USA-AZ|2023-04-06|wild_avian|A3</t>
  </si>
  <si>
    <t>GCA_046427025|A/California_condor/AZ/23-011582-001-original/2023|H5N1|USA-AZ|2023-04-12|wild_avian|A3</t>
  </si>
  <si>
    <t>GCA_046427525|A/California_condor/AZ/23-011582-002-original/2023|H5N1|USA-AZ|2023-04-12|wild_avian|A3</t>
  </si>
  <si>
    <t>GCA_046427555|A/California_condor/AZ/23-012519-002-original/2023|H5N1|USA-AZ|2023-04-18|wild_avian|A3</t>
  </si>
  <si>
    <t>GCA_046427065|A/California_condor/AZ/23-012521-001-original/2023|H5N1|USA-AZ|2023-04-18|wild_avian|A3</t>
  </si>
  <si>
    <t>GCA_046427585|A/California_condor/AZ/23-012522-002-original/2023|H5N1|USA-AZ|2023-04-18|wild_avian|A3</t>
  </si>
  <si>
    <t>GCA_046409575|A/Glaucous_Gull/AK/22-023553-003-original/2022|H5N1|USA-AK|2022-07-12|wild_avian|A3</t>
  </si>
  <si>
    <t>GCA_046410855|A/Glaucous_Gull/AK/22-025499-001-original/2022|H5N1|USA-AK|2022-08-09|wild_avian|A3</t>
  </si>
  <si>
    <t>GCA_046416515|A/Glaucous_Gull/AK/22-031916-001-original/2022|H5N1|USA-AK|2022-10-04|wild_avian|A3</t>
  </si>
  <si>
    <t>GCA_046417805|A/Glaucous_Gull/AK/22-042131-001-original/2022|H5N1|USA-AK|2022-10-20|wild_avian|A3</t>
  </si>
  <si>
    <t>GCA_046427815|A/Glaucous_Gull/AK/23-025003-001-original/2023|H5N1|USA-AK|2023-07-22|wild_avian|A3</t>
  </si>
  <si>
    <t>GCA_046422385|A/Great_horned_owl/CA/22-041400-001-original/2022|H5N1|USA-CA|2022-12-01|wild_avian|A3</t>
  </si>
  <si>
    <t>GCA_046423925|A/Great_horned_owl/CA/23-001052-001-original/2022|H5N1|USA-CA|2022-12-17|wild_avian|A3</t>
  </si>
  <si>
    <t>GCA_046422535|A/Great_horned_owl/WY/22-039756-001-original-3/2022|H5N1|USA-WY|2022-12-05|wild_avian|A3</t>
  </si>
  <si>
    <t>GCA_046426775|A/Gull/CA/23-004370-003-original/2023|H5N1|USA-CA|2023-01-31|wild_avian|A3</t>
  </si>
  <si>
    <t>GCA_046426785|A/Gull/CA/23-004370-004-original/2023|H5N1|USA-CA|2023-01-31|wild_avian|A3</t>
  </si>
  <si>
    <t>GCA_046424895|A/Gull/OR/23-000764-001-original/2023|H5N1|USA-OR|2023-01-04|wild_avian|A3</t>
  </si>
  <si>
    <t>GCA_046425085|A/Gull/OR/23-000775-001-original/2023|H5N1|USA-OR|2023-01-04|wild_avian|A3</t>
  </si>
  <si>
    <t>GCA_046423965|A/Herring_Gull/CA/23-001053-005-original/2022|H5N1|USA-CA|2022-12-17|wild_avian|A3</t>
  </si>
  <si>
    <t>GCA_046423055|A/Mallard/OR/22-041048-001-original/2022|H5N1|USA-OR|2022-12-11|wild_avian|A3</t>
  </si>
  <si>
    <t>GCA_046413925|A/Northern_pintail/AK/22-039438-020-original/2022|H5N1|USA-AK|2022-09-14|wild_avian|A3</t>
  </si>
  <si>
    <t>GCA_046413555|A/Northern_pintail/AK/22-039438-021-original/2022|H5N1|USA-AK|2022-09-14|wild_avian|A3</t>
  </si>
  <si>
    <t>GCA_046415735|A/Northern_pintail/AK/23-002693-009-original/2022|H5N1|USA-AK|2022-09-28|wild_avian|A3</t>
  </si>
  <si>
    <t>GCA_046416125|A/Northern_pintail/AK/23-002693-022-original/2022|H5N1|USA-AK|2022-09-30|wild_avian|A3</t>
  </si>
  <si>
    <t>GCA_046416505|A/Northern_pintail/AK/23-002693-027-original/2022|H5N1|USA-AK|2022-09-30|wild_avian|A3</t>
  </si>
  <si>
    <t>GCA_046416635|A/Northern_pintail/AK/23-002693-028-original/2022|H5N1|USA-AK|2022-10-02|wild_avian|A3</t>
  </si>
  <si>
    <t>GCA_046416325|A/Northern_pintail/AK/23-002693-029-original/2022|H5N1|USA-AK|2022-10-02|wild_avian|A3</t>
  </si>
  <si>
    <t>GCA_046426395|A/Peregrine_falcon/CA/23-004360-001-original/2023|H5N1|USA-CA|2023-01-24|wild_avian|A3</t>
  </si>
  <si>
    <t>GCA_046410325|A/Raven/AK/22-025788-001-original/2022|H5N1|USA-AK|2022-07-31|wild_avian|A3</t>
  </si>
  <si>
    <t>GCA_046419565|A/Raven/AK/22-037656-001-original/2022|H5N1|USA-AK|2022-11-08|wild_avian|A3</t>
  </si>
  <si>
    <t>GCA_046419895|A/Raven/AK/22-037656-002-original/2022|H5N1|USA-AK|2022-11-09|wild_avian|A3</t>
  </si>
  <si>
    <t>GCA_046419765|A/Raven/AK/22-037656-003-original/2022|H5N1|USA-AK|2022-11-11|wild_avian|A3</t>
  </si>
  <si>
    <t>GCA_046422135|A/Raven/CA/22-041396-002-original/2022|H5N1|USA-CA|2022-12-01|wild_avian|A3</t>
  </si>
  <si>
    <t>GCA_046423675|A/Raven/CA/23-000227-001-original/2022|H5N1|USA-CA|2022-12-15|wild_avian|A3</t>
  </si>
  <si>
    <t>GCA_046424085|A/Raven/CA/23-000949-001-original/2022|H5N1|USA-CA|2022-12-19|wild_avian|A3</t>
  </si>
  <si>
    <t>GCA_046424175|A/Raven/CA/23-001056-002-original/2022|H5N1|USA-CA|2022-12-21|wild_avian|A3</t>
  </si>
  <si>
    <t>GCA_046426675|A/Raven/MT/23-003666-004-original/2023|H5N1|USA-MT|2023-01-30|wild_avian|A3</t>
  </si>
  <si>
    <t>GCA_046426505|A/Red-tailed_hawk/CA/23-004366-002-original/2023|H5N1|USA-CA|2023-01-26|wild_avian|A3</t>
  </si>
  <si>
    <t>GCA_046420305|A/Red-tailed_hawk/OR/22-038528-001-original/2022|H5N1|USA-OR|2022-11-18|wild_avian|A3</t>
  </si>
  <si>
    <t>GCA_046425885|A/Red-tailed_hawk/OR/23-002977-001-original/2023|H5N1|USA-OR|2023-01-10|wild_avian|A3</t>
  </si>
  <si>
    <t>GCA_046424815|A/Red-tailed_hawk/WY/23-000979-001-original/2023|H5N1|USA-WY|2023-01-03|wild_avian|A3</t>
  </si>
  <si>
    <t>GCA_046425815|A/Red-tailed_hawk/WY/23-002118-001-original/2023|H5N1|USA-WY|2023-01-11|wild_avian|A3</t>
  </si>
  <si>
    <t>GCA_046422405|A/Snowy_plover/CA/22-041401-001-original/2022|H5N1|USA-CA|2022-12-01|wild_avian|A3</t>
  </si>
  <si>
    <t>GCA_046418515|A/Thayer's_Gull/AK/22-036618-001-original/2022|H5N1|USA-AK|2022-11-01|other|A3</t>
  </si>
  <si>
    <t>GCA_046418185|A/Turkey_Vulture/CA/22-035760-001-original/2022|H5N1|USA-CA|2022-10-28|wild_avian|A3</t>
  </si>
  <si>
    <t>GCA_046423895|A/Turkey_Vulture/CA/23-000948-003-original/2022|H5N1|USA-CA|2022-12-19|wild_avian|A3</t>
  </si>
  <si>
    <t>GCA_046424285|A/Turkey_Vulture/CA/23-001057-001-original/2022|H5N1|USA-CA|2022-12-22|wild_avian|A3</t>
  </si>
  <si>
    <t>GCA_046424475|A/Turkey_Vulture/CA/23-001057-002-original/2022|H5N1|USA-CA|2022-12-22|wild_avian|A3</t>
  </si>
  <si>
    <t>GCA_046426475|A/Turkey_Vulture/CA/23-004365-001-original/2023|H5N1|USA-CA|2023-01-25|wild_avian|A3</t>
  </si>
  <si>
    <t>GCA_046426655|A/Turkey_Vulture/CA/23-004367-001-original/2023|H5N1|USA-CA|2023-01-25|wild_avian|A3</t>
  </si>
  <si>
    <t>GCA_046426765|A/Turkey_Vulture/CA/23-004368-001-original/2023|H5N1|USA-CA|2023-01-31|wild_avian|A3</t>
  </si>
  <si>
    <t>GCA_046427295|A/Turkey_Vulture/CA/23-021850-001-original/2023|H5N1|USA-CA|2023-07-14|wild_avian|A3</t>
  </si>
  <si>
    <t>GCA_046425875|A/Turkey_Vulture/NV/23-002599-004-original/2023|H5N1|USA-NV|2023-01-10|wild_avian|A3</t>
  </si>
  <si>
    <t>GCA_046425855|A/Western_Gull/NV/23-002599-002-original/2023|H5N1|USA-NV|2023-01-10|wild_avian|A3</t>
  </si>
  <si>
    <t>GCA_046425725|A/Western_Gull/NV/23-002599-003-original/2023|H5N1|USA-NV|2023-01-10|wild_avian|A3</t>
  </si>
  <si>
    <t>GCA_046423245|A/Western_Gull/OR/22-041958-001-original/2022|H5N1|USA-OR|2022-12-11|wild_avian|A3</t>
  </si>
  <si>
    <t>GCA_039872785|A/polar_bear/Alaska/23-038123/2023|H5N1|USA-AK|2023-10-01|other_mammal|A3</t>
  </si>
  <si>
    <t>SRR36582246|A/American_Crow/AK/25G05424-003-original/2025|H5N1|USA-AK|2025-11-17|wild_avian|A3</t>
  </si>
  <si>
    <t>SRR36582229|A/Great_horned_Owl/AK/25G05348-001-original/2025|H5N1|USA-AK|2025-11-25|wild_avian|A3</t>
  </si>
  <si>
    <t>SRR36582228|A/Herring_Gull/AK/25G05424-002-original/2025|H5N1|USA-AK|2025-11-06|wild_avian|A3</t>
  </si>
  <si>
    <t>SRR36538298|A/American_Crow/OR/25G04941-001-original/2025|H5N1|USA-OR|2025-11-19|wild_avian|A3</t>
  </si>
  <si>
    <t>SRR36538304|A/Gull/WA/25G04847-001-original/2025|H5N1|USA-WA|2025-11-17|wild_avian|A3</t>
  </si>
  <si>
    <t>SRR33565207|A/Turkey_Vulture/MT/25-013489-001-original-repeat2/2025|H5N1|USA-MT|2025-04-19|wild_avian|A3</t>
  </si>
  <si>
    <t>SRR36538345|A/Western_Gull/CA/25G04839-004-original/2025|H5N1|USA-CA|2025-11-20|wild_avian|A3</t>
  </si>
  <si>
    <t>SRR36538340|A/Western_Gull/CA/25G05171-003-original/2025|H5N1|USA-CA|2025-11-21|wild_avian|A3</t>
  </si>
  <si>
    <t>SRR36212288|A/Common_Raven/AK/25G02308-002-original-repeat/2025|H5N1|USA-AK|2025-10-08|wild_avian|A3</t>
  </si>
  <si>
    <t>SRR36538346|A/Western_Gull/CA/25G04839-003-original/2025|H5N1|USA-CA|2025-11-20|wild_avian|A3</t>
  </si>
  <si>
    <t>SRR36538341|A/Western_Gull/CA/25G05171-002-original/2025|H5N1|USA-CA|2025-11-21|wild_avian|A3</t>
  </si>
  <si>
    <t>SRR32226680|A/Bald_Eagle/IA/25-001479-002-original/2025|H5N1|USA-IA|2025|wild_avian|A3</t>
  </si>
  <si>
    <t>SRR32226682|A/Canada_Goose/IL/25-000616-011-original/2025|H5N1|USA-IL|2025|wild_avian|A3</t>
  </si>
  <si>
    <t>SRR36933776|A/Bird/CA/25G06779-002-original/2025|H5N1|USA-CA|2025-12-23|wild_avian|A3</t>
  </si>
  <si>
    <t>SRR36933722|A/Black-necked_stilt/CA/25G06767-002-original/2025|H5N1|USA-CA|2025-12-17|wild_avian|A3</t>
  </si>
  <si>
    <t>SRR36933580|A/Common_Raven/CA/25G06779-005-original/2025|H5N1|USA-CA|2025-12-23|wild_avian|A3</t>
  </si>
  <si>
    <t>SRR36933749|A/Great_horned_Owl/CA/25G06778-003-original/2025|H5N1|USA-CA|2025-12-17|wild_avian|A3</t>
  </si>
  <si>
    <t>SRR36933723|A/Red-tailed_Hawk/CA/25G06778-001-original/2025|H5N1|USA-CA|2025-12-17|wild_avian|A3</t>
  </si>
  <si>
    <t>SRR36933650|A/Turkey_Vulture/CA/25G06773-001-original/2025|H5N1|USA-CA|2025-12-17|wild_avian|A3</t>
  </si>
  <si>
    <t>SRR36933705|A/Sanderling/CA/25G06768-001-original/2025|H5N1|USA-CA|2025-12-17|wild_avian|A3</t>
  </si>
  <si>
    <t>SRR36933651|A/Turkey_Vulture/CA/25G06772-002-original/2025|H5N1|USA-CA|2025-12-18|wild_avian|A3</t>
  </si>
  <si>
    <t>species</t>
  </si>
  <si>
    <t>species_unique</t>
  </si>
  <si>
    <t>waterfowl</t>
  </si>
  <si>
    <t>raptor</t>
  </si>
  <si>
    <t>sea</t>
  </si>
  <si>
    <t>other</t>
  </si>
  <si>
    <t>cackling_goose</t>
  </si>
  <si>
    <t>dunlin</t>
  </si>
  <si>
    <t>bald_eagle</t>
  </si>
  <si>
    <t>merlin</t>
  </si>
  <si>
    <t>barred_owl</t>
  </si>
  <si>
    <t>trumpeter_swan</t>
  </si>
  <si>
    <t>gull_spp.</t>
  </si>
  <si>
    <t>peregrine_falcon</t>
  </si>
  <si>
    <t>glaucous_gull</t>
  </si>
  <si>
    <t>sanderling</t>
  </si>
  <si>
    <t>cormorant</t>
  </si>
  <si>
    <t>western_gull</t>
  </si>
  <si>
    <t>turkey_vulture</t>
  </si>
  <si>
    <t>red-tailed_hawk</t>
  </si>
  <si>
    <t>gull</t>
  </si>
  <si>
    <t>canada_goose</t>
  </si>
  <si>
    <t>red_tailed_hawk</t>
  </si>
  <si>
    <t>chicken</t>
  </si>
  <si>
    <t>domestic_goose</t>
  </si>
  <si>
    <t>fox</t>
  </si>
  <si>
    <t>northern_pintail</t>
  </si>
  <si>
    <t>house_mouse</t>
  </si>
  <si>
    <t>great_blue_heron</t>
  </si>
  <si>
    <t>american_wigeon</t>
  </si>
  <si>
    <t>common_goldeneye</t>
  </si>
  <si>
    <t>great_horned_owl</t>
  </si>
  <si>
    <t>common_raven</t>
  </si>
  <si>
    <t>snow_goose</t>
  </si>
  <si>
    <t>glaucous-winged_gull</t>
  </si>
  <si>
    <t>short-tailed_shearwaters</t>
  </si>
  <si>
    <t>coopers_hawk</t>
  </si>
  <si>
    <t>duck</t>
  </si>
  <si>
    <t>common_murre</t>
  </si>
  <si>
    <t>turkey</t>
  </si>
  <si>
    <t>green-winged_teal</t>
  </si>
  <si>
    <t>black-billed_magpie</t>
  </si>
  <si>
    <t>wood_duck</t>
  </si>
  <si>
    <t>striped_skunk</t>
  </si>
  <si>
    <t>mallard</t>
  </si>
  <si>
    <t>glaucous_winged_gull</t>
  </si>
  <si>
    <t>red_fox</t>
  </si>
  <si>
    <t>rosss_goose</t>
  </si>
  <si>
    <t>cooper_s_hawk</t>
  </si>
  <si>
    <t>tundra_swan</t>
  </si>
  <si>
    <t>guinea_fowl</t>
  </si>
  <si>
    <t>american_crow</t>
  </si>
  <si>
    <t>american_black_duck</t>
  </si>
  <si>
    <t>domestic_duck</t>
  </si>
  <si>
    <t>pheasant</t>
  </si>
  <si>
    <t>guineafowl</t>
  </si>
  <si>
    <t>haliaeetus_leucocephalus</t>
  </si>
  <si>
    <t>mallard_duck</t>
  </si>
  <si>
    <t>green_winged_teal</t>
  </si>
  <si>
    <t>gadwall</t>
  </si>
  <si>
    <t>greater_scaup</t>
  </si>
  <si>
    <t>hawk</t>
  </si>
  <si>
    <t>ring_necked_duck</t>
  </si>
  <si>
    <t>wild_goose</t>
  </si>
  <si>
    <t>lesser_scaup</t>
  </si>
  <si>
    <t>northern_shoveler</t>
  </si>
  <si>
    <t>wild_duck</t>
  </si>
  <si>
    <t>redhead_duck</t>
  </si>
  <si>
    <t>falcon</t>
  </si>
  <si>
    <t>golden_eagle</t>
  </si>
  <si>
    <t>herring_gull</t>
  </si>
  <si>
    <t>magpie</t>
  </si>
  <si>
    <t>seagull</t>
  </si>
  <si>
    <t>brown_pelican</t>
  </si>
  <si>
    <t>raccoon</t>
  </si>
  <si>
    <t>bonaparte's_gull</t>
  </si>
  <si>
    <t>bobcat</t>
  </si>
  <si>
    <t>catalina_island_fox</t>
  </si>
  <si>
    <t>grackle</t>
  </si>
  <si>
    <t>crow</t>
  </si>
  <si>
    <t>cat</t>
  </si>
  <si>
    <t>emu</t>
  </si>
  <si>
    <t>dove</t>
  </si>
  <si>
    <t>goose</t>
  </si>
  <si>
    <t>black_turnstone</t>
  </si>
  <si>
    <t>black-legged_kittiwake</t>
  </si>
  <si>
    <t>california_condor</t>
  </si>
  <si>
    <t>raven</t>
  </si>
  <si>
    <t>snowy_plover</t>
  </si>
  <si>
    <t>thayer's_gull</t>
  </si>
  <si>
    <t>polar_bear</t>
  </si>
  <si>
    <t>bird</t>
  </si>
  <si>
    <t>black-necked_stilt</t>
  </si>
  <si>
    <t>non</t>
  </si>
  <si>
    <t>location</t>
  </si>
  <si>
    <t>collection_date</t>
  </si>
  <si>
    <t>Header</t>
  </si>
  <si>
    <t>Identifier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</si>
</sst>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8FA57-0CE6-4040-A08A-FC1BC51F3A58}">
  <dimension ref="A1:E558"/>
  <sheetViews>
    <sheetView workbookViewId="0">
      <selection activeCell="B12" sqref="B12"/>
    </sheetView>
  </sheetViews>
  <sheetFormatPr defaultRowHeight="14.4" x14ac:dyDescent="0.3"/>
  <cols>
    <col min="1" max="1" width="93.88671875" bestFit="1" customWidth="1"/>
    <col min="2" max="2" width="45" bestFit="1" customWidth="1"/>
    <col min="3" max="3" width="22.21875" bestFit="1" customWidth="1"/>
    <col min="4" max="4" width="22.21875" customWidth="1"/>
    <col min="5" max="5" width="17.33203125" customWidth="1"/>
  </cols>
  <sheetData>
    <row r="1" spans="1:5" x14ac:dyDescent="0.3">
      <c r="A1" t="s">
        <v>0</v>
      </c>
      <c r="B1" t="s">
        <v>1</v>
      </c>
      <c r="C1" t="s">
        <v>559</v>
      </c>
      <c r="D1" t="s">
        <v>653</v>
      </c>
      <c r="E1" t="s">
        <v>654</v>
      </c>
    </row>
    <row r="2" spans="1:5" x14ac:dyDescent="0.3">
      <c r="A2" t="s">
        <v>100</v>
      </c>
      <c r="B2" t="str">
        <f>_xlfn.TEXTBEFORE(_xlfn.TEXTAFTER(A2, "|", 1), "|", 1)</f>
        <v>A/bald_eagle/Alaska/22-035250-002/2022</v>
      </c>
      <c r="C2" t="str">
        <f>LOWER(_xlfn.TEXTBEFORE(_xlfn.TEXTAFTER(B2, "/", 1), "/", 1))</f>
        <v>bald_eagle</v>
      </c>
      <c r="D2" t="str">
        <f>_xlfn.TEXTBEFORE(_xlfn.TEXTAFTER(A2, "|", 3), "|", 1)</f>
        <v>USA-AK</v>
      </c>
      <c r="E2" t="str">
        <f>_xlfn.TEXTBEFORE(_xlfn.TEXTAFTER(A2, "|", 4), "|", 1)</f>
        <v>2022</v>
      </c>
    </row>
    <row r="3" spans="1:5" x14ac:dyDescent="0.3">
      <c r="A3" t="s">
        <v>101</v>
      </c>
      <c r="B3" t="str">
        <f>_xlfn.TEXTBEFORE(_xlfn.TEXTAFTER(A3, "|", 1), "|", 1)</f>
        <v>A/bald_eagle/Alaska/22-035250-001/2022</v>
      </c>
      <c r="C3" t="str">
        <f>LOWER(_xlfn.TEXTBEFORE(_xlfn.TEXTAFTER(B3, "/", 1), "/", 1))</f>
        <v>bald_eagle</v>
      </c>
      <c r="D3" t="str">
        <f>_xlfn.TEXTBEFORE(_xlfn.TEXTAFTER(A3, "|", 3), "|", 1)</f>
        <v>USA-AK</v>
      </c>
      <c r="E3" t="str">
        <f>_xlfn.TEXTBEFORE(_xlfn.TEXTAFTER(A3, "|", 4), "|", 1)</f>
        <v>2022</v>
      </c>
    </row>
    <row r="4" spans="1:5" x14ac:dyDescent="0.3">
      <c r="A4" t="s">
        <v>26</v>
      </c>
      <c r="B4" t="str">
        <f>_xlfn.TEXTBEFORE(_xlfn.TEXTAFTER(A4, "|", 1), "|", 1)</f>
        <v>A/red_tailed_hawk/Montana/22-040683-006/2022</v>
      </c>
      <c r="C4" t="str">
        <f>LOWER(_xlfn.TEXTBEFORE(_xlfn.TEXTAFTER(B4, "/", 1), "/", 1))</f>
        <v>red_tailed_hawk</v>
      </c>
      <c r="D4" t="str">
        <f>_xlfn.TEXTBEFORE(_xlfn.TEXTAFTER(A4, "|", 3), "|", 1)</f>
        <v>USA-MT</v>
      </c>
      <c r="E4" t="str">
        <f>_xlfn.TEXTBEFORE(_xlfn.TEXTAFTER(A4, "|", 4), "|", 1)</f>
        <v>2022</v>
      </c>
    </row>
    <row r="5" spans="1:5" x14ac:dyDescent="0.3">
      <c r="A5" t="s">
        <v>157</v>
      </c>
      <c r="B5" t="str">
        <f>_xlfn.TEXTBEFORE(_xlfn.TEXTAFTER(A5, "|", 1), "|", 1)</f>
        <v>A/red_fox/United_States/24-028269-001/2024</v>
      </c>
      <c r="C5" t="str">
        <f>LOWER(_xlfn.TEXTBEFORE(_xlfn.TEXTAFTER(B5, "/", 1), "/", 1))</f>
        <v>red_fox</v>
      </c>
      <c r="D5" t="str">
        <f>_xlfn.TEXTBEFORE(_xlfn.TEXTAFTER(A5, "|", 3), "|", 1)</f>
        <v>USA</v>
      </c>
      <c r="E5" t="str">
        <f>_xlfn.TEXTBEFORE(_xlfn.TEXTAFTER(A5, "|", 4), "|", 1)</f>
        <v>2024</v>
      </c>
    </row>
    <row r="6" spans="1:5" x14ac:dyDescent="0.3">
      <c r="A6" t="s">
        <v>166</v>
      </c>
      <c r="B6" t="str">
        <f>_xlfn.TEXTBEFORE(_xlfn.TEXTAFTER(A6, "|", 1), "|", 1)</f>
        <v>A/green_winged_teal/United_States/24-032525-001/2024</v>
      </c>
      <c r="C6" t="str">
        <f>LOWER(_xlfn.TEXTBEFORE(_xlfn.TEXTAFTER(B6, "/", 1), "/", 1))</f>
        <v>green_winged_teal</v>
      </c>
      <c r="D6" t="str">
        <f>_xlfn.TEXTBEFORE(_xlfn.TEXTAFTER(A6, "|", 3), "|", 1)</f>
        <v>USA</v>
      </c>
      <c r="E6" t="str">
        <f>_xlfn.TEXTBEFORE(_xlfn.TEXTAFTER(A6, "|", 4), "|", 1)</f>
        <v>2024</v>
      </c>
    </row>
    <row r="7" spans="1:5" x14ac:dyDescent="0.3">
      <c r="A7" t="s">
        <v>167</v>
      </c>
      <c r="B7" t="str">
        <f>_xlfn.TEXTBEFORE(_xlfn.TEXTAFTER(A7, "|", 1), "|", 1)</f>
        <v>A/green_winged_teal/United_States/25-000649-009/2024</v>
      </c>
      <c r="C7" t="str">
        <f>LOWER(_xlfn.TEXTBEFORE(_xlfn.TEXTAFTER(B7, "/", 1), "/", 1))</f>
        <v>green_winged_teal</v>
      </c>
      <c r="D7" t="str">
        <f>_xlfn.TEXTBEFORE(_xlfn.TEXTAFTER(A7, "|", 3), "|", 1)</f>
        <v>USA</v>
      </c>
      <c r="E7" t="str">
        <f>_xlfn.TEXTBEFORE(_xlfn.TEXTAFTER(A7, "|", 4), "|", 1)</f>
        <v>2024</v>
      </c>
    </row>
    <row r="8" spans="1:5" x14ac:dyDescent="0.3">
      <c r="A8" t="s">
        <v>168</v>
      </c>
      <c r="B8" t="str">
        <f>_xlfn.TEXTBEFORE(_xlfn.TEXTAFTER(A8, "|", 1), "|", 1)</f>
        <v>A/gadwall/United_States/24-038543-072/2024</v>
      </c>
      <c r="C8" t="str">
        <f>LOWER(_xlfn.TEXTBEFORE(_xlfn.TEXTAFTER(B8, "/", 1), "/", 1))</f>
        <v>gadwall</v>
      </c>
      <c r="D8" t="str">
        <f>_xlfn.TEXTBEFORE(_xlfn.TEXTAFTER(A8, "|", 3), "|", 1)</f>
        <v>USA</v>
      </c>
      <c r="E8" t="str">
        <f>_xlfn.TEXTBEFORE(_xlfn.TEXTAFTER(A8, "|", 4), "|", 1)</f>
        <v>2024</v>
      </c>
    </row>
    <row r="9" spans="1:5" x14ac:dyDescent="0.3">
      <c r="A9" t="s">
        <v>169</v>
      </c>
      <c r="B9" t="str">
        <f>_xlfn.TEXTBEFORE(_xlfn.TEXTAFTER(A9, "|", 1), "|", 1)</f>
        <v>A/canada_goose/United_States/24-038291-012/2024</v>
      </c>
      <c r="C9" t="str">
        <f>LOWER(_xlfn.TEXTBEFORE(_xlfn.TEXTAFTER(B9, "/", 1), "/", 1))</f>
        <v>canada_goose</v>
      </c>
      <c r="D9" t="str">
        <f>_xlfn.TEXTBEFORE(_xlfn.TEXTAFTER(A9, "|", 3), "|", 1)</f>
        <v>USA</v>
      </c>
      <c r="E9" t="str">
        <f>_xlfn.TEXTBEFORE(_xlfn.TEXTAFTER(A9, "|", 4), "|", 1)</f>
        <v>2024</v>
      </c>
    </row>
    <row r="10" spans="1:5" x14ac:dyDescent="0.3">
      <c r="A10" t="s">
        <v>170</v>
      </c>
      <c r="B10" t="str">
        <f>_xlfn.TEXTBEFORE(_xlfn.TEXTAFTER(A10, "|", 1), "|", 1)</f>
        <v>A/canada_goose/United_States/25-001449-003/2024</v>
      </c>
      <c r="C10" t="str">
        <f>LOWER(_xlfn.TEXTBEFORE(_xlfn.TEXTAFTER(B10, "/", 1), "/", 1))</f>
        <v>canada_goose</v>
      </c>
      <c r="D10" t="str">
        <f>_xlfn.TEXTBEFORE(_xlfn.TEXTAFTER(A10, "|", 3), "|", 1)</f>
        <v>USA</v>
      </c>
      <c r="E10" t="str">
        <f>_xlfn.TEXTBEFORE(_xlfn.TEXTAFTER(A10, "|", 4), "|", 1)</f>
        <v>2024</v>
      </c>
    </row>
    <row r="11" spans="1:5" x14ac:dyDescent="0.3">
      <c r="A11" t="s">
        <v>174</v>
      </c>
      <c r="B11" t="str">
        <f>_xlfn.TEXTBEFORE(_xlfn.TEXTAFTER(A11, "|", 1), "|", 1)</f>
        <v>A/gadwall/United_States/24-035166-001/2024</v>
      </c>
      <c r="C11" t="str">
        <f>LOWER(_xlfn.TEXTBEFORE(_xlfn.TEXTAFTER(B11, "/", 1), "/", 1))</f>
        <v>gadwall</v>
      </c>
      <c r="D11" t="str">
        <f>_xlfn.TEXTBEFORE(_xlfn.TEXTAFTER(A11, "|", 3), "|", 1)</f>
        <v>USA</v>
      </c>
      <c r="E11" t="str">
        <f>_xlfn.TEXTBEFORE(_xlfn.TEXTAFTER(A11, "|", 4), "|", 1)</f>
        <v>2024</v>
      </c>
    </row>
    <row r="12" spans="1:5" x14ac:dyDescent="0.3">
      <c r="A12" t="s">
        <v>175</v>
      </c>
      <c r="B12" t="str">
        <f>_xlfn.TEXTBEFORE(_xlfn.TEXTAFTER(A12, "|", 1), "|", 1)</f>
        <v>A/gadwall/United_States/24-035153-017/2024</v>
      </c>
      <c r="C12" t="str">
        <f>LOWER(_xlfn.TEXTBEFORE(_xlfn.TEXTAFTER(B12, "/", 1), "/", 1))</f>
        <v>gadwall</v>
      </c>
      <c r="D12" t="str">
        <f>_xlfn.TEXTBEFORE(_xlfn.TEXTAFTER(A12, "|", 3), "|", 1)</f>
        <v>USA</v>
      </c>
      <c r="E12" t="str">
        <f>_xlfn.TEXTBEFORE(_xlfn.TEXTAFTER(A12, "|", 4), "|", 1)</f>
        <v>2024</v>
      </c>
    </row>
    <row r="13" spans="1:5" x14ac:dyDescent="0.3">
      <c r="A13" t="s">
        <v>176</v>
      </c>
      <c r="B13" t="str">
        <f>_xlfn.TEXTBEFORE(_xlfn.TEXTAFTER(A13, "|", 1), "|", 1)</f>
        <v>A/greater_scaup/United_States/24-034544-003/2024</v>
      </c>
      <c r="C13" t="str">
        <f>LOWER(_xlfn.TEXTBEFORE(_xlfn.TEXTAFTER(B13, "/", 1), "/", 1))</f>
        <v>greater_scaup</v>
      </c>
      <c r="D13" t="str">
        <f>_xlfn.TEXTBEFORE(_xlfn.TEXTAFTER(A13, "|", 3), "|", 1)</f>
        <v>USA</v>
      </c>
      <c r="E13" t="str">
        <f>_xlfn.TEXTBEFORE(_xlfn.TEXTAFTER(A13, "|", 4), "|", 1)</f>
        <v>2024</v>
      </c>
    </row>
    <row r="14" spans="1:5" x14ac:dyDescent="0.3">
      <c r="A14" t="s">
        <v>177</v>
      </c>
      <c r="B14" t="str">
        <f>_xlfn.TEXTBEFORE(_xlfn.TEXTAFTER(A14, "|", 1), "|", 1)</f>
        <v>A/hawk/United_States/24-034155-001/2024</v>
      </c>
      <c r="C14" t="str">
        <f>LOWER(_xlfn.TEXTBEFORE(_xlfn.TEXTAFTER(B14, "/", 1), "/", 1))</f>
        <v>hawk</v>
      </c>
      <c r="D14" t="str">
        <f>_xlfn.TEXTBEFORE(_xlfn.TEXTAFTER(A14, "|", 3), "|", 1)</f>
        <v>USA</v>
      </c>
      <c r="E14" t="str">
        <f>_xlfn.TEXTBEFORE(_xlfn.TEXTAFTER(A14, "|", 4), "|", 1)</f>
        <v>2024</v>
      </c>
    </row>
    <row r="15" spans="1:5" x14ac:dyDescent="0.3">
      <c r="A15" t="s">
        <v>178</v>
      </c>
      <c r="B15" t="str">
        <f>_xlfn.TEXTBEFORE(_xlfn.TEXTAFTER(A15, "|", 1), "|", 1)</f>
        <v>A/trumpeter_swan/United_States/25-000124-001/2024</v>
      </c>
      <c r="C15" t="str">
        <f>LOWER(_xlfn.TEXTBEFORE(_xlfn.TEXTAFTER(B15, "/", 1), "/", 1))</f>
        <v>trumpeter_swan</v>
      </c>
      <c r="D15" t="str">
        <f>_xlfn.TEXTBEFORE(_xlfn.TEXTAFTER(A15, "|", 3), "|", 1)</f>
        <v>USA</v>
      </c>
      <c r="E15" t="str">
        <f>_xlfn.TEXTBEFORE(_xlfn.TEXTAFTER(A15, "|", 4), "|", 1)</f>
        <v>2024</v>
      </c>
    </row>
    <row r="16" spans="1:5" x14ac:dyDescent="0.3">
      <c r="A16" t="s">
        <v>179</v>
      </c>
      <c r="B16" t="str">
        <f>_xlfn.TEXTBEFORE(_xlfn.TEXTAFTER(A16, "|", 1), "|", 1)</f>
        <v>A/glaucous_gull/United_States/24-034063-001/2024</v>
      </c>
      <c r="C16" t="str">
        <f>LOWER(_xlfn.TEXTBEFORE(_xlfn.TEXTAFTER(B16, "/", 1), "/", 1))</f>
        <v>glaucous_gull</v>
      </c>
      <c r="D16" t="str">
        <f>_xlfn.TEXTBEFORE(_xlfn.TEXTAFTER(A16, "|", 3), "|", 1)</f>
        <v>USA</v>
      </c>
      <c r="E16" t="str">
        <f>_xlfn.TEXTBEFORE(_xlfn.TEXTAFTER(A16, "|", 4), "|", 1)</f>
        <v>2024</v>
      </c>
    </row>
    <row r="17" spans="1:5" x14ac:dyDescent="0.3">
      <c r="A17" t="s">
        <v>180</v>
      </c>
      <c r="B17" t="str">
        <f>_xlfn.TEXTBEFORE(_xlfn.TEXTAFTER(A17, "|", 1), "|", 1)</f>
        <v>A/greater_scaup/United_States/24-038856-009/2024</v>
      </c>
      <c r="C17" t="str">
        <f>LOWER(_xlfn.TEXTBEFORE(_xlfn.TEXTAFTER(B17, "/", 1), "/", 1))</f>
        <v>greater_scaup</v>
      </c>
      <c r="D17" t="str">
        <f>_xlfn.TEXTBEFORE(_xlfn.TEXTAFTER(A17, "|", 3), "|", 1)</f>
        <v>USA</v>
      </c>
      <c r="E17" t="str">
        <f>_xlfn.TEXTBEFORE(_xlfn.TEXTAFTER(A17, "|", 4), "|", 1)</f>
        <v>2024</v>
      </c>
    </row>
    <row r="18" spans="1:5" x14ac:dyDescent="0.3">
      <c r="A18" t="s">
        <v>181</v>
      </c>
      <c r="B18" t="str">
        <f>_xlfn.TEXTBEFORE(_xlfn.TEXTAFTER(A18, "|", 1), "|", 1)</f>
        <v>A/green_winged_teal/United_States/24-033894-003/2024</v>
      </c>
      <c r="C18" t="str">
        <f>LOWER(_xlfn.TEXTBEFORE(_xlfn.TEXTAFTER(B18, "/", 1), "/", 1))</f>
        <v>green_winged_teal</v>
      </c>
      <c r="D18" t="str">
        <f>_xlfn.TEXTBEFORE(_xlfn.TEXTAFTER(A18, "|", 3), "|", 1)</f>
        <v>USA</v>
      </c>
      <c r="E18" t="str">
        <f>_xlfn.TEXTBEFORE(_xlfn.TEXTAFTER(A18, "|", 4), "|", 1)</f>
        <v>2024</v>
      </c>
    </row>
    <row r="19" spans="1:5" x14ac:dyDescent="0.3">
      <c r="A19" t="s">
        <v>182</v>
      </c>
      <c r="B19" t="str">
        <f>_xlfn.TEXTBEFORE(_xlfn.TEXTAFTER(A19, "|", 1), "|", 1)</f>
        <v>A/red_tailed_hawk/United_States/24-038838-001/2024</v>
      </c>
      <c r="C19" t="str">
        <f>LOWER(_xlfn.TEXTBEFORE(_xlfn.TEXTAFTER(B19, "/", 1), "/", 1))</f>
        <v>red_tailed_hawk</v>
      </c>
      <c r="D19" t="str">
        <f>_xlfn.TEXTBEFORE(_xlfn.TEXTAFTER(A19, "|", 3), "|", 1)</f>
        <v>USA</v>
      </c>
      <c r="E19" t="str">
        <f>_xlfn.TEXTBEFORE(_xlfn.TEXTAFTER(A19, "|", 4), "|", 1)</f>
        <v>2024</v>
      </c>
    </row>
    <row r="20" spans="1:5" x14ac:dyDescent="0.3">
      <c r="A20" t="s">
        <v>183</v>
      </c>
      <c r="B20" t="str">
        <f>_xlfn.TEXTBEFORE(_xlfn.TEXTAFTER(A20, "|", 1), "|", 1)</f>
        <v>A/green_winged_teal/United_States/25-002457-002/2024</v>
      </c>
      <c r="C20" t="str">
        <f>LOWER(_xlfn.TEXTBEFORE(_xlfn.TEXTAFTER(B20, "/", 1), "/", 1))</f>
        <v>green_winged_teal</v>
      </c>
      <c r="D20" t="str">
        <f>_xlfn.TEXTBEFORE(_xlfn.TEXTAFTER(A20, "|", 3), "|", 1)</f>
        <v>USA</v>
      </c>
      <c r="E20" t="str">
        <f>_xlfn.TEXTBEFORE(_xlfn.TEXTAFTER(A20, "|", 4), "|", 1)</f>
        <v>2024</v>
      </c>
    </row>
    <row r="21" spans="1:5" x14ac:dyDescent="0.3">
      <c r="A21" t="s">
        <v>184</v>
      </c>
      <c r="B21" t="str">
        <f>_xlfn.TEXTBEFORE(_xlfn.TEXTAFTER(A21, "|", 1), "|", 1)</f>
        <v>A/green_winged_teal/United_States/25-002442-003/2024</v>
      </c>
      <c r="C21" t="str">
        <f>LOWER(_xlfn.TEXTBEFORE(_xlfn.TEXTAFTER(B21, "/", 1), "/", 1))</f>
        <v>green_winged_teal</v>
      </c>
      <c r="D21" t="str">
        <f>_xlfn.TEXTBEFORE(_xlfn.TEXTAFTER(A21, "|", 3), "|", 1)</f>
        <v>USA</v>
      </c>
      <c r="E21" t="str">
        <f>_xlfn.TEXTBEFORE(_xlfn.TEXTAFTER(A21, "|", 4), "|", 1)</f>
        <v>2024</v>
      </c>
    </row>
    <row r="22" spans="1:5" x14ac:dyDescent="0.3">
      <c r="A22" t="s">
        <v>185</v>
      </c>
      <c r="B22" t="str">
        <f>_xlfn.TEXTBEFORE(_xlfn.TEXTAFTER(A22, "|", 1), "|", 1)</f>
        <v>A/mallard_duck/United_States/24-034964-006/2024</v>
      </c>
      <c r="C22" t="str">
        <f>LOWER(_xlfn.TEXTBEFORE(_xlfn.TEXTAFTER(B22, "/", 1), "/", 1))</f>
        <v>mallard_duck</v>
      </c>
      <c r="D22" t="str">
        <f>_xlfn.TEXTBEFORE(_xlfn.TEXTAFTER(A22, "|", 3), "|", 1)</f>
        <v>USA</v>
      </c>
      <c r="E22" t="str">
        <f>_xlfn.TEXTBEFORE(_xlfn.TEXTAFTER(A22, "|", 4), "|", 1)</f>
        <v>2024</v>
      </c>
    </row>
    <row r="23" spans="1:5" x14ac:dyDescent="0.3">
      <c r="A23" t="s">
        <v>186</v>
      </c>
      <c r="B23" t="str">
        <f>_xlfn.TEXTBEFORE(_xlfn.TEXTAFTER(A23, "|", 1), "|", 1)</f>
        <v>A/gadwall/United_States/24-034554-001/2024</v>
      </c>
      <c r="C23" t="str">
        <f>LOWER(_xlfn.TEXTBEFORE(_xlfn.TEXTAFTER(B23, "/", 1), "/", 1))</f>
        <v>gadwall</v>
      </c>
      <c r="D23" t="str">
        <f>_xlfn.TEXTBEFORE(_xlfn.TEXTAFTER(A23, "|", 3), "|", 1)</f>
        <v>USA</v>
      </c>
      <c r="E23" t="str">
        <f>_xlfn.TEXTBEFORE(_xlfn.TEXTAFTER(A23, "|", 4), "|", 1)</f>
        <v>2024</v>
      </c>
    </row>
    <row r="24" spans="1:5" x14ac:dyDescent="0.3">
      <c r="A24" t="s">
        <v>187</v>
      </c>
      <c r="B24" t="str">
        <f>_xlfn.TEXTBEFORE(_xlfn.TEXTAFTER(A24, "|", 1), "|", 1)</f>
        <v>A/mallard_duck/United_States/25-000644-002/2024</v>
      </c>
      <c r="C24" t="str">
        <f>LOWER(_xlfn.TEXTBEFORE(_xlfn.TEXTAFTER(B24, "/", 1), "/", 1))</f>
        <v>mallard_duck</v>
      </c>
      <c r="D24" t="str">
        <f>_xlfn.TEXTBEFORE(_xlfn.TEXTAFTER(A24, "|", 3), "|", 1)</f>
        <v>USA</v>
      </c>
      <c r="E24" t="str">
        <f>_xlfn.TEXTBEFORE(_xlfn.TEXTAFTER(A24, "|", 4), "|", 1)</f>
        <v>2024</v>
      </c>
    </row>
    <row r="25" spans="1:5" x14ac:dyDescent="0.3">
      <c r="A25" t="s">
        <v>188</v>
      </c>
      <c r="B25" t="str">
        <f>_xlfn.TEXTBEFORE(_xlfn.TEXTAFTER(A25, "|", 1), "|", 1)</f>
        <v>A/american_wigeon/United_States/24-034553-014/2024</v>
      </c>
      <c r="C25" t="str">
        <f>LOWER(_xlfn.TEXTBEFORE(_xlfn.TEXTAFTER(B25, "/", 1), "/", 1))</f>
        <v>american_wigeon</v>
      </c>
      <c r="D25" t="str">
        <f>_xlfn.TEXTBEFORE(_xlfn.TEXTAFTER(A25, "|", 3), "|", 1)</f>
        <v>USA</v>
      </c>
      <c r="E25" t="str">
        <f>_xlfn.TEXTBEFORE(_xlfn.TEXTAFTER(A25, "|", 4), "|", 1)</f>
        <v>2024</v>
      </c>
    </row>
    <row r="26" spans="1:5" x14ac:dyDescent="0.3">
      <c r="A26" t="s">
        <v>189</v>
      </c>
      <c r="B26" t="str">
        <f>_xlfn.TEXTBEFORE(_xlfn.TEXTAFTER(A26, "|", 1), "|", 1)</f>
        <v>A/mallard_duck/United_States/24-038554-004/2024</v>
      </c>
      <c r="C26" t="str">
        <f>LOWER(_xlfn.TEXTBEFORE(_xlfn.TEXTAFTER(B26, "/", 1), "/", 1))</f>
        <v>mallard_duck</v>
      </c>
      <c r="D26" t="str">
        <f>_xlfn.TEXTBEFORE(_xlfn.TEXTAFTER(A26, "|", 3), "|", 1)</f>
        <v>USA</v>
      </c>
      <c r="E26" t="str">
        <f>_xlfn.TEXTBEFORE(_xlfn.TEXTAFTER(A26, "|", 4), "|", 1)</f>
        <v>2024</v>
      </c>
    </row>
    <row r="27" spans="1:5" x14ac:dyDescent="0.3">
      <c r="A27" t="s">
        <v>190</v>
      </c>
      <c r="B27" t="str">
        <f>_xlfn.TEXTBEFORE(_xlfn.TEXTAFTER(A27, "|", 1), "|", 1)</f>
        <v>A/gadwall/United_States/24-038543-077/2024</v>
      </c>
      <c r="C27" t="str">
        <f>LOWER(_xlfn.TEXTBEFORE(_xlfn.TEXTAFTER(B27, "/", 1), "/", 1))</f>
        <v>gadwall</v>
      </c>
      <c r="D27" t="str">
        <f>_xlfn.TEXTBEFORE(_xlfn.TEXTAFTER(A27, "|", 3), "|", 1)</f>
        <v>USA</v>
      </c>
      <c r="E27" t="str">
        <f>_xlfn.TEXTBEFORE(_xlfn.TEXTAFTER(A27, "|", 4), "|", 1)</f>
        <v>2024</v>
      </c>
    </row>
    <row r="28" spans="1:5" x14ac:dyDescent="0.3">
      <c r="A28" t="s">
        <v>191</v>
      </c>
      <c r="B28" t="str">
        <f>_xlfn.TEXTBEFORE(_xlfn.TEXTAFTER(A28, "|", 1), "|", 1)</f>
        <v>A/gadwall/United_States/24-038543-076/2024</v>
      </c>
      <c r="C28" t="str">
        <f>LOWER(_xlfn.TEXTBEFORE(_xlfn.TEXTAFTER(B28, "/", 1), "/", 1))</f>
        <v>gadwall</v>
      </c>
      <c r="D28" t="str">
        <f>_xlfn.TEXTBEFORE(_xlfn.TEXTAFTER(A28, "|", 3), "|", 1)</f>
        <v>USA</v>
      </c>
      <c r="E28" t="str">
        <f>_xlfn.TEXTBEFORE(_xlfn.TEXTAFTER(A28, "|", 4), "|", 1)</f>
        <v>2024</v>
      </c>
    </row>
    <row r="29" spans="1:5" x14ac:dyDescent="0.3">
      <c r="A29" t="s">
        <v>192</v>
      </c>
      <c r="B29" t="str">
        <f>_xlfn.TEXTBEFORE(_xlfn.TEXTAFTER(A29, "|", 1), "|", 1)</f>
        <v>A/northern_pintail/United_States/24-037862-003/2024</v>
      </c>
      <c r="C29" t="str">
        <f>LOWER(_xlfn.TEXTBEFORE(_xlfn.TEXTAFTER(B29, "/", 1), "/", 1))</f>
        <v>northern_pintail</v>
      </c>
      <c r="D29" t="str">
        <f>_xlfn.TEXTBEFORE(_xlfn.TEXTAFTER(A29, "|", 3), "|", 1)</f>
        <v>USA</v>
      </c>
      <c r="E29" t="str">
        <f>_xlfn.TEXTBEFORE(_xlfn.TEXTAFTER(A29, "|", 4), "|", 1)</f>
        <v>2024</v>
      </c>
    </row>
    <row r="30" spans="1:5" x14ac:dyDescent="0.3">
      <c r="A30" t="s">
        <v>193</v>
      </c>
      <c r="B30" t="str">
        <f>_xlfn.TEXTBEFORE(_xlfn.TEXTAFTER(A30, "|", 1), "|", 1)</f>
        <v>A/canada_goose/United_States/24-037683-003/2024</v>
      </c>
      <c r="C30" t="str">
        <f>LOWER(_xlfn.TEXTBEFORE(_xlfn.TEXTAFTER(B30, "/", 1), "/", 1))</f>
        <v>canada_goose</v>
      </c>
      <c r="D30" t="str">
        <f>_xlfn.TEXTBEFORE(_xlfn.TEXTAFTER(A30, "|", 3), "|", 1)</f>
        <v>USA</v>
      </c>
      <c r="E30" t="str">
        <f>_xlfn.TEXTBEFORE(_xlfn.TEXTAFTER(A30, "|", 4), "|", 1)</f>
        <v>2024</v>
      </c>
    </row>
    <row r="31" spans="1:5" x14ac:dyDescent="0.3">
      <c r="A31" t="s">
        <v>194</v>
      </c>
      <c r="B31" t="str">
        <f>_xlfn.TEXTBEFORE(_xlfn.TEXTAFTER(A31, "|", 1), "|", 1)</f>
        <v>A/canada_goose/United_States/24-037683-002/2024</v>
      </c>
      <c r="C31" t="str">
        <f>LOWER(_xlfn.TEXTBEFORE(_xlfn.TEXTAFTER(B31, "/", 1), "/", 1))</f>
        <v>canada_goose</v>
      </c>
      <c r="D31" t="str">
        <f>_xlfn.TEXTBEFORE(_xlfn.TEXTAFTER(A31, "|", 3), "|", 1)</f>
        <v>USA</v>
      </c>
      <c r="E31" t="str">
        <f>_xlfn.TEXTBEFORE(_xlfn.TEXTAFTER(A31, "|", 4), "|", 1)</f>
        <v>2024</v>
      </c>
    </row>
    <row r="32" spans="1:5" x14ac:dyDescent="0.3">
      <c r="A32" t="s">
        <v>195</v>
      </c>
      <c r="B32" t="str">
        <f>_xlfn.TEXTBEFORE(_xlfn.TEXTAFTER(A32, "|", 1), "|", 1)</f>
        <v>A/american_wigeon/United_States/24-030721-001/2024</v>
      </c>
      <c r="C32" t="str">
        <f>LOWER(_xlfn.TEXTBEFORE(_xlfn.TEXTAFTER(B32, "/", 1), "/", 1))</f>
        <v>american_wigeon</v>
      </c>
      <c r="D32" t="str">
        <f>_xlfn.TEXTBEFORE(_xlfn.TEXTAFTER(A32, "|", 3), "|", 1)</f>
        <v>USA</v>
      </c>
      <c r="E32" t="str">
        <f>_xlfn.TEXTBEFORE(_xlfn.TEXTAFTER(A32, "|", 4), "|", 1)</f>
        <v>2024</v>
      </c>
    </row>
    <row r="33" spans="1:5" x14ac:dyDescent="0.3">
      <c r="A33" t="s">
        <v>196</v>
      </c>
      <c r="B33" t="str">
        <f>_xlfn.TEXTBEFORE(_xlfn.TEXTAFTER(A33, "|", 1), "|", 1)</f>
        <v>A/great_horned_owl/United_States/24-037564-001/2024</v>
      </c>
      <c r="C33" t="str">
        <f>LOWER(_xlfn.TEXTBEFORE(_xlfn.TEXTAFTER(B33, "/", 1), "/", 1))</f>
        <v>great_horned_owl</v>
      </c>
      <c r="D33" t="str">
        <f>_xlfn.TEXTBEFORE(_xlfn.TEXTAFTER(A33, "|", 3), "|", 1)</f>
        <v>USA</v>
      </c>
      <c r="E33" t="str">
        <f>_xlfn.TEXTBEFORE(_xlfn.TEXTAFTER(A33, "|", 4), "|", 1)</f>
        <v>2024</v>
      </c>
    </row>
    <row r="34" spans="1:5" x14ac:dyDescent="0.3">
      <c r="A34" t="s">
        <v>197</v>
      </c>
      <c r="B34" t="str">
        <f>_xlfn.TEXTBEFORE(_xlfn.TEXTAFTER(A34, "|", 1), "|", 1)</f>
        <v>A/bald_eagle/United_States/24-037539-001/2024</v>
      </c>
      <c r="C34" t="str">
        <f>LOWER(_xlfn.TEXTBEFORE(_xlfn.TEXTAFTER(B34, "/", 1), "/", 1))</f>
        <v>bald_eagle</v>
      </c>
      <c r="D34" t="str">
        <f>_xlfn.TEXTBEFORE(_xlfn.TEXTAFTER(A34, "|", 3), "|", 1)</f>
        <v>USA</v>
      </c>
      <c r="E34" t="str">
        <f>_xlfn.TEXTBEFORE(_xlfn.TEXTAFTER(A34, "|", 4), "|", 1)</f>
        <v>2024</v>
      </c>
    </row>
    <row r="35" spans="1:5" x14ac:dyDescent="0.3">
      <c r="A35" t="s">
        <v>198</v>
      </c>
      <c r="B35" t="str">
        <f>_xlfn.TEXTBEFORE(_xlfn.TEXTAFTER(A35, "|", 1), "|", 1)</f>
        <v>A/gull/United_States/24-037519-003/2024</v>
      </c>
      <c r="C35" t="str">
        <f>LOWER(_xlfn.TEXTBEFORE(_xlfn.TEXTAFTER(B35, "/", 1), "/", 1))</f>
        <v>gull</v>
      </c>
      <c r="D35" t="str">
        <f>_xlfn.TEXTBEFORE(_xlfn.TEXTAFTER(A35, "|", 3), "|", 1)</f>
        <v>USA</v>
      </c>
      <c r="E35" t="str">
        <f>_xlfn.TEXTBEFORE(_xlfn.TEXTAFTER(A35, "|", 4), "|", 1)</f>
        <v>2024</v>
      </c>
    </row>
    <row r="36" spans="1:5" x14ac:dyDescent="0.3">
      <c r="A36" t="s">
        <v>199</v>
      </c>
      <c r="B36" t="str">
        <f>_xlfn.TEXTBEFORE(_xlfn.TEXTAFTER(A36, "|", 1), "|", 1)</f>
        <v>A/ring_necked_duck/United_States/24-035695-006/2024</v>
      </c>
      <c r="C36" t="str">
        <f>LOWER(_xlfn.TEXTBEFORE(_xlfn.TEXTAFTER(B36, "/", 1), "/", 1))</f>
        <v>ring_necked_duck</v>
      </c>
      <c r="D36" t="str">
        <f>_xlfn.TEXTBEFORE(_xlfn.TEXTAFTER(A36, "|", 3), "|", 1)</f>
        <v>USA</v>
      </c>
      <c r="E36" t="str">
        <f>_xlfn.TEXTBEFORE(_xlfn.TEXTAFTER(A36, "|", 4), "|", 1)</f>
        <v>2024</v>
      </c>
    </row>
    <row r="37" spans="1:5" x14ac:dyDescent="0.3">
      <c r="A37" t="s">
        <v>200</v>
      </c>
      <c r="B37" t="str">
        <f>_xlfn.TEXTBEFORE(_xlfn.TEXTAFTER(A37, "|", 1), "|", 1)</f>
        <v>A/mallard_duck/United_States/24-035692-002/2024</v>
      </c>
      <c r="C37" t="str">
        <f>LOWER(_xlfn.TEXTBEFORE(_xlfn.TEXTAFTER(B37, "/", 1), "/", 1))</f>
        <v>mallard_duck</v>
      </c>
      <c r="D37" t="str">
        <f>_xlfn.TEXTBEFORE(_xlfn.TEXTAFTER(A37, "|", 3), "|", 1)</f>
        <v>USA</v>
      </c>
      <c r="E37" t="str">
        <f>_xlfn.TEXTBEFORE(_xlfn.TEXTAFTER(A37, "|", 4), "|", 1)</f>
        <v>2024</v>
      </c>
    </row>
    <row r="38" spans="1:5" x14ac:dyDescent="0.3">
      <c r="A38" t="s">
        <v>201</v>
      </c>
      <c r="B38" t="str">
        <f>_xlfn.TEXTBEFORE(_xlfn.TEXTAFTER(A38, "|", 1), "|", 1)</f>
        <v>A/great_horned_owl/United_States/25-000399-001/2024</v>
      </c>
      <c r="C38" t="str">
        <f>LOWER(_xlfn.TEXTBEFORE(_xlfn.TEXTAFTER(B38, "/", 1), "/", 1))</f>
        <v>great_horned_owl</v>
      </c>
      <c r="D38" t="str">
        <f>_xlfn.TEXTBEFORE(_xlfn.TEXTAFTER(A38, "|", 3), "|", 1)</f>
        <v>USA</v>
      </c>
      <c r="E38" t="str">
        <f>_xlfn.TEXTBEFORE(_xlfn.TEXTAFTER(A38, "|", 4), "|", 1)</f>
        <v>2024</v>
      </c>
    </row>
    <row r="39" spans="1:5" x14ac:dyDescent="0.3">
      <c r="A39" t="s">
        <v>202</v>
      </c>
      <c r="B39" t="str">
        <f>_xlfn.TEXTBEFORE(_xlfn.TEXTAFTER(A39, "|", 1), "|", 1)</f>
        <v>A/gadwall/United_States/24-034551-058/2024</v>
      </c>
      <c r="C39" t="str">
        <f>LOWER(_xlfn.TEXTBEFORE(_xlfn.TEXTAFTER(B39, "/", 1), "/", 1))</f>
        <v>gadwall</v>
      </c>
      <c r="D39" t="str">
        <f>_xlfn.TEXTBEFORE(_xlfn.TEXTAFTER(A39, "|", 3), "|", 1)</f>
        <v>USA</v>
      </c>
      <c r="E39" t="str">
        <f>_xlfn.TEXTBEFORE(_xlfn.TEXTAFTER(A39, "|", 4), "|", 1)</f>
        <v>2024</v>
      </c>
    </row>
    <row r="40" spans="1:5" x14ac:dyDescent="0.3">
      <c r="A40" t="s">
        <v>203</v>
      </c>
      <c r="B40" t="str">
        <f>_xlfn.TEXTBEFORE(_xlfn.TEXTAFTER(A40, "|", 1), "|", 1)</f>
        <v>A/gadwall/United_States/24-034551-056/2024</v>
      </c>
      <c r="C40" t="str">
        <f>LOWER(_xlfn.TEXTBEFORE(_xlfn.TEXTAFTER(B40, "/", 1), "/", 1))</f>
        <v>gadwall</v>
      </c>
      <c r="D40" t="str">
        <f>_xlfn.TEXTBEFORE(_xlfn.TEXTAFTER(A40, "|", 3), "|", 1)</f>
        <v>USA</v>
      </c>
      <c r="E40" t="str">
        <f>_xlfn.TEXTBEFORE(_xlfn.TEXTAFTER(A40, "|", 4), "|", 1)</f>
        <v>2024</v>
      </c>
    </row>
    <row r="41" spans="1:5" x14ac:dyDescent="0.3">
      <c r="A41" t="s">
        <v>204</v>
      </c>
      <c r="B41" t="str">
        <f>_xlfn.TEXTBEFORE(_xlfn.TEXTAFTER(A41, "|", 1), "|", 1)</f>
        <v>A/ring_necked_duck/United_States/24-038064-006/2024</v>
      </c>
      <c r="C41" t="str">
        <f>LOWER(_xlfn.TEXTBEFORE(_xlfn.TEXTAFTER(B41, "/", 1), "/", 1))</f>
        <v>ring_necked_duck</v>
      </c>
      <c r="D41" t="str">
        <f>_xlfn.TEXTBEFORE(_xlfn.TEXTAFTER(A41, "|", 3), "|", 1)</f>
        <v>USA</v>
      </c>
      <c r="E41" t="str">
        <f>_xlfn.TEXTBEFORE(_xlfn.TEXTAFTER(A41, "|", 4), "|", 1)</f>
        <v>2024</v>
      </c>
    </row>
    <row r="42" spans="1:5" x14ac:dyDescent="0.3">
      <c r="A42" t="s">
        <v>205</v>
      </c>
      <c r="B42" t="str">
        <f>_xlfn.TEXTBEFORE(_xlfn.TEXTAFTER(A42, "|", 1), "|", 1)</f>
        <v>A/tundra_swan/United_States/24-038039-001/2024</v>
      </c>
      <c r="C42" t="str">
        <f>LOWER(_xlfn.TEXTBEFORE(_xlfn.TEXTAFTER(B42, "/", 1), "/", 1))</f>
        <v>tundra_swan</v>
      </c>
      <c r="D42" t="str">
        <f>_xlfn.TEXTBEFORE(_xlfn.TEXTAFTER(A42, "|", 3), "|", 1)</f>
        <v>USA</v>
      </c>
      <c r="E42" t="str">
        <f>_xlfn.TEXTBEFORE(_xlfn.TEXTAFTER(A42, "|", 4), "|", 1)</f>
        <v>2024</v>
      </c>
    </row>
    <row r="43" spans="1:5" x14ac:dyDescent="0.3">
      <c r="A43" t="s">
        <v>206</v>
      </c>
      <c r="B43" t="str">
        <f>_xlfn.TEXTBEFORE(_xlfn.TEXTAFTER(A43, "|", 1), "|", 1)</f>
        <v>A/wild_goose/United_States/24-037519-002/2024</v>
      </c>
      <c r="C43" t="str">
        <f>LOWER(_xlfn.TEXTBEFORE(_xlfn.TEXTAFTER(B43, "/", 1), "/", 1))</f>
        <v>wild_goose</v>
      </c>
      <c r="D43" t="str">
        <f>_xlfn.TEXTBEFORE(_xlfn.TEXTAFTER(A43, "|", 3), "|", 1)</f>
        <v>USA</v>
      </c>
      <c r="E43" t="str">
        <f>_xlfn.TEXTBEFORE(_xlfn.TEXTAFTER(A43, "|", 4), "|", 1)</f>
        <v>2024</v>
      </c>
    </row>
    <row r="44" spans="1:5" x14ac:dyDescent="0.3">
      <c r="A44" t="s">
        <v>207</v>
      </c>
      <c r="B44" t="str">
        <f>_xlfn.TEXTBEFORE(_xlfn.TEXTAFTER(A44, "|", 1), "|", 1)</f>
        <v>A/canada_goose/United_States/24-037519-001/2024</v>
      </c>
      <c r="C44" t="str">
        <f>LOWER(_xlfn.TEXTBEFORE(_xlfn.TEXTAFTER(B44, "/", 1), "/", 1))</f>
        <v>canada_goose</v>
      </c>
      <c r="D44" t="str">
        <f>_xlfn.TEXTBEFORE(_xlfn.TEXTAFTER(A44, "|", 3), "|", 1)</f>
        <v>USA</v>
      </c>
      <c r="E44" t="str">
        <f>_xlfn.TEXTBEFORE(_xlfn.TEXTAFTER(A44, "|", 4), "|", 1)</f>
        <v>2024</v>
      </c>
    </row>
    <row r="45" spans="1:5" x14ac:dyDescent="0.3">
      <c r="A45" t="s">
        <v>208</v>
      </c>
      <c r="B45" t="str">
        <f>_xlfn.TEXTBEFORE(_xlfn.TEXTAFTER(A45, "|", 1), "|", 1)</f>
        <v>A/great_horned_owl/United_States/24-037403-001/2024</v>
      </c>
      <c r="C45" t="str">
        <f>LOWER(_xlfn.TEXTBEFORE(_xlfn.TEXTAFTER(B45, "/", 1), "/", 1))</f>
        <v>great_horned_owl</v>
      </c>
      <c r="D45" t="str">
        <f>_xlfn.TEXTBEFORE(_xlfn.TEXTAFTER(A45, "|", 3), "|", 1)</f>
        <v>USA</v>
      </c>
      <c r="E45" t="str">
        <f>_xlfn.TEXTBEFORE(_xlfn.TEXTAFTER(A45, "|", 4), "|", 1)</f>
        <v>2024</v>
      </c>
    </row>
    <row r="46" spans="1:5" x14ac:dyDescent="0.3">
      <c r="A46" t="s">
        <v>209</v>
      </c>
      <c r="B46" t="str">
        <f>_xlfn.TEXTBEFORE(_xlfn.TEXTAFTER(A46, "|", 1), "|", 1)</f>
        <v>A/tundra_swan/United_States/24-037346-002/2024</v>
      </c>
      <c r="C46" t="str">
        <f>LOWER(_xlfn.TEXTBEFORE(_xlfn.TEXTAFTER(B46, "/", 1), "/", 1))</f>
        <v>tundra_swan</v>
      </c>
      <c r="D46" t="str">
        <f>_xlfn.TEXTBEFORE(_xlfn.TEXTAFTER(A46, "|", 3), "|", 1)</f>
        <v>USA</v>
      </c>
      <c r="E46" t="str">
        <f>_xlfn.TEXTBEFORE(_xlfn.TEXTAFTER(A46, "|", 4), "|", 1)</f>
        <v>2024</v>
      </c>
    </row>
    <row r="47" spans="1:5" x14ac:dyDescent="0.3">
      <c r="A47" t="s">
        <v>210</v>
      </c>
      <c r="B47" t="str">
        <f>_xlfn.TEXTBEFORE(_xlfn.TEXTAFTER(A47, "|", 1), "|", 1)</f>
        <v>A/canada_goose/United_States/24-037346-001/2024</v>
      </c>
      <c r="C47" t="str">
        <f>LOWER(_xlfn.TEXTBEFORE(_xlfn.TEXTAFTER(B47, "/", 1), "/", 1))</f>
        <v>canada_goose</v>
      </c>
      <c r="D47" t="str">
        <f>_xlfn.TEXTBEFORE(_xlfn.TEXTAFTER(A47, "|", 3), "|", 1)</f>
        <v>USA</v>
      </c>
      <c r="E47" t="str">
        <f>_xlfn.TEXTBEFORE(_xlfn.TEXTAFTER(A47, "|", 4), "|", 1)</f>
        <v>2024</v>
      </c>
    </row>
    <row r="48" spans="1:5" x14ac:dyDescent="0.3">
      <c r="A48" t="s">
        <v>211</v>
      </c>
      <c r="B48" t="str">
        <f>_xlfn.TEXTBEFORE(_xlfn.TEXTAFTER(A48, "|", 1), "|", 1)</f>
        <v>A/snow_goose/United_States/24-037289-005/2024</v>
      </c>
      <c r="C48" t="str">
        <f>LOWER(_xlfn.TEXTBEFORE(_xlfn.TEXTAFTER(B48, "/", 1), "/", 1))</f>
        <v>snow_goose</v>
      </c>
      <c r="D48" t="str">
        <f>_xlfn.TEXTBEFORE(_xlfn.TEXTAFTER(A48, "|", 3), "|", 1)</f>
        <v>USA</v>
      </c>
      <c r="E48" t="str">
        <f>_xlfn.TEXTBEFORE(_xlfn.TEXTAFTER(A48, "|", 4), "|", 1)</f>
        <v>2024</v>
      </c>
    </row>
    <row r="49" spans="1:5" x14ac:dyDescent="0.3">
      <c r="A49" t="s">
        <v>212</v>
      </c>
      <c r="B49" t="str">
        <f>_xlfn.TEXTBEFORE(_xlfn.TEXTAFTER(A49, "|", 1), "|", 1)</f>
        <v>A/snow_goose/United_States/24-037289-001/2024</v>
      </c>
      <c r="C49" t="str">
        <f>LOWER(_xlfn.TEXTBEFORE(_xlfn.TEXTAFTER(B49, "/", 1), "/", 1))</f>
        <v>snow_goose</v>
      </c>
      <c r="D49" t="str">
        <f>_xlfn.TEXTBEFORE(_xlfn.TEXTAFTER(A49, "|", 3), "|", 1)</f>
        <v>USA</v>
      </c>
      <c r="E49" t="str">
        <f>_xlfn.TEXTBEFORE(_xlfn.TEXTAFTER(A49, "|", 4), "|", 1)</f>
        <v>2024</v>
      </c>
    </row>
    <row r="50" spans="1:5" x14ac:dyDescent="0.3">
      <c r="A50" t="s">
        <v>213</v>
      </c>
      <c r="B50" t="str">
        <f>_xlfn.TEXTBEFORE(_xlfn.TEXTAFTER(A50, "|", 1), "|", 1)</f>
        <v>A/great_horned_owl/United_States/24-036855-001/2024</v>
      </c>
      <c r="C50" t="str">
        <f>LOWER(_xlfn.TEXTBEFORE(_xlfn.TEXTAFTER(B50, "/", 1), "/", 1))</f>
        <v>great_horned_owl</v>
      </c>
      <c r="D50" t="str">
        <f>_xlfn.TEXTBEFORE(_xlfn.TEXTAFTER(A50, "|", 3), "|", 1)</f>
        <v>USA</v>
      </c>
      <c r="E50" t="str">
        <f>_xlfn.TEXTBEFORE(_xlfn.TEXTAFTER(A50, "|", 4), "|", 1)</f>
        <v>2024</v>
      </c>
    </row>
    <row r="51" spans="1:5" x14ac:dyDescent="0.3">
      <c r="A51" t="s">
        <v>214</v>
      </c>
      <c r="B51" t="str">
        <f>_xlfn.TEXTBEFORE(_xlfn.TEXTAFTER(A51, "|", 1), "|", 1)</f>
        <v>A/ring_necked_duck/United_States/24-036854-001/2024</v>
      </c>
      <c r="C51" t="str">
        <f>LOWER(_xlfn.TEXTBEFORE(_xlfn.TEXTAFTER(B51, "/", 1), "/", 1))</f>
        <v>ring_necked_duck</v>
      </c>
      <c r="D51" t="str">
        <f>_xlfn.TEXTBEFORE(_xlfn.TEXTAFTER(A51, "|", 3), "|", 1)</f>
        <v>USA</v>
      </c>
      <c r="E51" t="str">
        <f>_xlfn.TEXTBEFORE(_xlfn.TEXTAFTER(A51, "|", 4), "|", 1)</f>
        <v>2024</v>
      </c>
    </row>
    <row r="52" spans="1:5" x14ac:dyDescent="0.3">
      <c r="A52" t="s">
        <v>215</v>
      </c>
      <c r="B52" t="str">
        <f>_xlfn.TEXTBEFORE(_xlfn.TEXTAFTER(A52, "|", 1), "|", 1)</f>
        <v>A/tundra_swan/United_States/24-036676-001/2024</v>
      </c>
      <c r="C52" t="str">
        <f>LOWER(_xlfn.TEXTBEFORE(_xlfn.TEXTAFTER(B52, "/", 1), "/", 1))</f>
        <v>tundra_swan</v>
      </c>
      <c r="D52" t="str">
        <f>_xlfn.TEXTBEFORE(_xlfn.TEXTAFTER(A52, "|", 3), "|", 1)</f>
        <v>USA</v>
      </c>
      <c r="E52" t="str">
        <f>_xlfn.TEXTBEFORE(_xlfn.TEXTAFTER(A52, "|", 4), "|", 1)</f>
        <v>2024</v>
      </c>
    </row>
    <row r="53" spans="1:5" x14ac:dyDescent="0.3">
      <c r="A53" t="s">
        <v>216</v>
      </c>
      <c r="B53" t="str">
        <f>_xlfn.TEXTBEFORE(_xlfn.TEXTAFTER(A53, "|", 1), "|", 1)</f>
        <v>A/great_horned_owl/United_States/24-036617-001/2024</v>
      </c>
      <c r="C53" t="str">
        <f>LOWER(_xlfn.TEXTBEFORE(_xlfn.TEXTAFTER(B53, "/", 1), "/", 1))</f>
        <v>great_horned_owl</v>
      </c>
      <c r="D53" t="str">
        <f>_xlfn.TEXTBEFORE(_xlfn.TEXTAFTER(A53, "|", 3), "|", 1)</f>
        <v>USA</v>
      </c>
      <c r="E53" t="str">
        <f>_xlfn.TEXTBEFORE(_xlfn.TEXTAFTER(A53, "|", 4), "|", 1)</f>
        <v>2024</v>
      </c>
    </row>
    <row r="54" spans="1:5" x14ac:dyDescent="0.3">
      <c r="A54" t="s">
        <v>217</v>
      </c>
      <c r="B54" t="str">
        <f>_xlfn.TEXTBEFORE(_xlfn.TEXTAFTER(A54, "|", 1), "|", 1)</f>
        <v>A/canada_goose/United_States/24-036501-001/2024</v>
      </c>
      <c r="C54" t="str">
        <f>LOWER(_xlfn.TEXTBEFORE(_xlfn.TEXTAFTER(B54, "/", 1), "/", 1))</f>
        <v>canada_goose</v>
      </c>
      <c r="D54" t="str">
        <f>_xlfn.TEXTBEFORE(_xlfn.TEXTAFTER(A54, "|", 3), "|", 1)</f>
        <v>USA</v>
      </c>
      <c r="E54" t="str">
        <f>_xlfn.TEXTBEFORE(_xlfn.TEXTAFTER(A54, "|", 4), "|", 1)</f>
        <v>2024</v>
      </c>
    </row>
    <row r="55" spans="1:5" x14ac:dyDescent="0.3">
      <c r="A55" t="s">
        <v>218</v>
      </c>
      <c r="B55" t="str">
        <f>_xlfn.TEXTBEFORE(_xlfn.TEXTAFTER(A55, "|", 1), "|", 1)</f>
        <v>A/green_winged_teal/United_States/24-031815-002/2024</v>
      </c>
      <c r="C55" t="str">
        <f>LOWER(_xlfn.TEXTBEFORE(_xlfn.TEXTAFTER(B55, "/", 1), "/", 1))</f>
        <v>green_winged_teal</v>
      </c>
      <c r="D55" t="str">
        <f>_xlfn.TEXTBEFORE(_xlfn.TEXTAFTER(A55, "|", 3), "|", 1)</f>
        <v>USA</v>
      </c>
      <c r="E55" t="str">
        <f>_xlfn.TEXTBEFORE(_xlfn.TEXTAFTER(A55, "|", 4), "|", 1)</f>
        <v>2024</v>
      </c>
    </row>
    <row r="56" spans="1:5" x14ac:dyDescent="0.3">
      <c r="A56" t="s">
        <v>219</v>
      </c>
      <c r="B56" t="str">
        <f>_xlfn.TEXTBEFORE(_xlfn.TEXTAFTER(A56, "|", 1), "|", 1)</f>
        <v>A/great_horned_owl/United_States/24-038292-002/2024</v>
      </c>
      <c r="C56" t="str">
        <f>LOWER(_xlfn.TEXTBEFORE(_xlfn.TEXTAFTER(B56, "/", 1), "/", 1))</f>
        <v>great_horned_owl</v>
      </c>
      <c r="D56" t="str">
        <f>_xlfn.TEXTBEFORE(_xlfn.TEXTAFTER(A56, "|", 3), "|", 1)</f>
        <v>USA</v>
      </c>
      <c r="E56" t="str">
        <f>_xlfn.TEXTBEFORE(_xlfn.TEXTAFTER(A56, "|", 4), "|", 1)</f>
        <v>2024</v>
      </c>
    </row>
    <row r="57" spans="1:5" x14ac:dyDescent="0.3">
      <c r="A57" t="s">
        <v>220</v>
      </c>
      <c r="B57" t="str">
        <f>_xlfn.TEXTBEFORE(_xlfn.TEXTAFTER(A57, "|", 1), "|", 1)</f>
        <v>A/great_horned_owl/United_States/24-038292-001/2024</v>
      </c>
      <c r="C57" t="str">
        <f>LOWER(_xlfn.TEXTBEFORE(_xlfn.TEXTAFTER(B57, "/", 1), "/", 1))</f>
        <v>great_horned_owl</v>
      </c>
      <c r="D57" t="str">
        <f>_xlfn.TEXTBEFORE(_xlfn.TEXTAFTER(A57, "|", 3), "|", 1)</f>
        <v>USA</v>
      </c>
      <c r="E57" t="str">
        <f>_xlfn.TEXTBEFORE(_xlfn.TEXTAFTER(A57, "|", 4), "|", 1)</f>
        <v>2024</v>
      </c>
    </row>
    <row r="58" spans="1:5" x14ac:dyDescent="0.3">
      <c r="A58" t="s">
        <v>221</v>
      </c>
      <c r="B58" t="str">
        <f>_xlfn.TEXTBEFORE(_xlfn.TEXTAFTER(A58, "|", 1), "|", 1)</f>
        <v>A/american_crow/United_States/24-037903-002/2024</v>
      </c>
      <c r="C58" t="str">
        <f>LOWER(_xlfn.TEXTBEFORE(_xlfn.TEXTAFTER(B58, "/", 1), "/", 1))</f>
        <v>american_crow</v>
      </c>
      <c r="D58" t="str">
        <f>_xlfn.TEXTBEFORE(_xlfn.TEXTAFTER(A58, "|", 3), "|", 1)</f>
        <v>USA</v>
      </c>
      <c r="E58" t="str">
        <f>_xlfn.TEXTBEFORE(_xlfn.TEXTAFTER(A58, "|", 4), "|", 1)</f>
        <v>2024</v>
      </c>
    </row>
    <row r="59" spans="1:5" x14ac:dyDescent="0.3">
      <c r="A59" t="s">
        <v>222</v>
      </c>
      <c r="B59" t="str">
        <f>_xlfn.TEXTBEFORE(_xlfn.TEXTAFTER(A59, "|", 1), "|", 1)</f>
        <v>A/northern_pintail/United_States/24-037862-016/2024</v>
      </c>
      <c r="C59" t="str">
        <f>LOWER(_xlfn.TEXTBEFORE(_xlfn.TEXTAFTER(B59, "/", 1), "/", 1))</f>
        <v>northern_pintail</v>
      </c>
      <c r="D59" t="str">
        <f>_xlfn.TEXTBEFORE(_xlfn.TEXTAFTER(A59, "|", 3), "|", 1)</f>
        <v>USA</v>
      </c>
      <c r="E59" t="str">
        <f>_xlfn.TEXTBEFORE(_xlfn.TEXTAFTER(A59, "|", 4), "|", 1)</f>
        <v>2024</v>
      </c>
    </row>
    <row r="60" spans="1:5" x14ac:dyDescent="0.3">
      <c r="A60" t="s">
        <v>223</v>
      </c>
      <c r="B60" t="str">
        <f>_xlfn.TEXTBEFORE(_xlfn.TEXTAFTER(A60, "|", 1), "|", 1)</f>
        <v>A/mallard_duck/United_States/24-036149-001/2024</v>
      </c>
      <c r="C60" t="str">
        <f>LOWER(_xlfn.TEXTBEFORE(_xlfn.TEXTAFTER(B60, "/", 1), "/", 1))</f>
        <v>mallard_duck</v>
      </c>
      <c r="D60" t="str">
        <f>_xlfn.TEXTBEFORE(_xlfn.TEXTAFTER(A60, "|", 3), "|", 1)</f>
        <v>USA</v>
      </c>
      <c r="E60" t="str">
        <f>_xlfn.TEXTBEFORE(_xlfn.TEXTAFTER(A60, "|", 4), "|", 1)</f>
        <v>2024</v>
      </c>
    </row>
    <row r="61" spans="1:5" x14ac:dyDescent="0.3">
      <c r="A61" t="s">
        <v>224</v>
      </c>
      <c r="B61" t="str">
        <f>_xlfn.TEXTBEFORE(_xlfn.TEXTAFTER(A61, "|", 1), "|", 1)</f>
        <v>A/bald_eagle/United_States/24-035924-001/2024</v>
      </c>
      <c r="C61" t="str">
        <f>LOWER(_xlfn.TEXTBEFORE(_xlfn.TEXTAFTER(B61, "/", 1), "/", 1))</f>
        <v>bald_eagle</v>
      </c>
      <c r="D61" t="str">
        <f>_xlfn.TEXTBEFORE(_xlfn.TEXTAFTER(A61, "|", 3), "|", 1)</f>
        <v>USA</v>
      </c>
      <c r="E61" t="str">
        <f>_xlfn.TEXTBEFORE(_xlfn.TEXTAFTER(A61, "|", 4), "|", 1)</f>
        <v>2024</v>
      </c>
    </row>
    <row r="62" spans="1:5" x14ac:dyDescent="0.3">
      <c r="A62" t="s">
        <v>225</v>
      </c>
      <c r="B62" t="str">
        <f>_xlfn.TEXTBEFORE(_xlfn.TEXTAFTER(A62, "|", 1), "|", 1)</f>
        <v>A/lesser_scaup/United_States/24-035773-021/2024</v>
      </c>
      <c r="C62" t="str">
        <f>LOWER(_xlfn.TEXTBEFORE(_xlfn.TEXTAFTER(B62, "/", 1), "/", 1))</f>
        <v>lesser_scaup</v>
      </c>
      <c r="D62" t="str">
        <f>_xlfn.TEXTBEFORE(_xlfn.TEXTAFTER(A62, "|", 3), "|", 1)</f>
        <v>USA</v>
      </c>
      <c r="E62" t="str">
        <f>_xlfn.TEXTBEFORE(_xlfn.TEXTAFTER(A62, "|", 4), "|", 1)</f>
        <v>2024</v>
      </c>
    </row>
    <row r="63" spans="1:5" x14ac:dyDescent="0.3">
      <c r="A63" t="s">
        <v>226</v>
      </c>
      <c r="B63" t="str">
        <f>_xlfn.TEXTBEFORE(_xlfn.TEXTAFTER(A63, "|", 1), "|", 1)</f>
        <v>A/ring_necked_duck/United_States/24-035773-005/2024</v>
      </c>
      <c r="C63" t="str">
        <f>LOWER(_xlfn.TEXTBEFORE(_xlfn.TEXTAFTER(B63, "/", 1), "/", 1))</f>
        <v>ring_necked_duck</v>
      </c>
      <c r="D63" t="str">
        <f>_xlfn.TEXTBEFORE(_xlfn.TEXTAFTER(A63, "|", 3), "|", 1)</f>
        <v>USA</v>
      </c>
      <c r="E63" t="str">
        <f>_xlfn.TEXTBEFORE(_xlfn.TEXTAFTER(A63, "|", 4), "|", 1)</f>
        <v>2024</v>
      </c>
    </row>
    <row r="64" spans="1:5" x14ac:dyDescent="0.3">
      <c r="A64" t="s">
        <v>227</v>
      </c>
      <c r="B64" t="str">
        <f>_xlfn.TEXTBEFORE(_xlfn.TEXTAFTER(A64, "|", 1), "|", 1)</f>
        <v>A/ring_necked_duck/United_States/24-035772-025/2024</v>
      </c>
      <c r="C64" t="str">
        <f>LOWER(_xlfn.TEXTBEFORE(_xlfn.TEXTAFTER(B64, "/", 1), "/", 1))</f>
        <v>ring_necked_duck</v>
      </c>
      <c r="D64" t="str">
        <f>_xlfn.TEXTBEFORE(_xlfn.TEXTAFTER(A64, "|", 3), "|", 1)</f>
        <v>USA</v>
      </c>
      <c r="E64" t="str">
        <f>_xlfn.TEXTBEFORE(_xlfn.TEXTAFTER(A64, "|", 4), "|", 1)</f>
        <v>2024</v>
      </c>
    </row>
    <row r="65" spans="1:5" x14ac:dyDescent="0.3">
      <c r="A65" t="s">
        <v>228</v>
      </c>
      <c r="B65" t="str">
        <f>_xlfn.TEXTBEFORE(_xlfn.TEXTAFTER(A65, "|", 1), "|", 1)</f>
        <v>A/ring_necked_duck/United_States/24-035772-006/2024</v>
      </c>
      <c r="C65" t="str">
        <f>LOWER(_xlfn.TEXTBEFORE(_xlfn.TEXTAFTER(B65, "/", 1), "/", 1))</f>
        <v>ring_necked_duck</v>
      </c>
      <c r="D65" t="str">
        <f>_xlfn.TEXTBEFORE(_xlfn.TEXTAFTER(A65, "|", 3), "|", 1)</f>
        <v>USA</v>
      </c>
      <c r="E65" t="str">
        <f>_xlfn.TEXTBEFORE(_xlfn.TEXTAFTER(A65, "|", 4), "|", 1)</f>
        <v>2024</v>
      </c>
    </row>
    <row r="66" spans="1:5" x14ac:dyDescent="0.3">
      <c r="A66" t="s">
        <v>229</v>
      </c>
      <c r="B66" t="str">
        <f>_xlfn.TEXTBEFORE(_xlfn.TEXTAFTER(A66, "|", 1), "|", 1)</f>
        <v>A/ring_necked_duck/United_States/24-035772-002/2024</v>
      </c>
      <c r="C66" t="str">
        <f>LOWER(_xlfn.TEXTBEFORE(_xlfn.TEXTAFTER(B66, "/", 1), "/", 1))</f>
        <v>ring_necked_duck</v>
      </c>
      <c r="D66" t="str">
        <f>_xlfn.TEXTBEFORE(_xlfn.TEXTAFTER(A66, "|", 3), "|", 1)</f>
        <v>USA</v>
      </c>
      <c r="E66" t="str">
        <f>_xlfn.TEXTBEFORE(_xlfn.TEXTAFTER(A66, "|", 4), "|", 1)</f>
        <v>2024</v>
      </c>
    </row>
    <row r="67" spans="1:5" x14ac:dyDescent="0.3">
      <c r="A67" t="s">
        <v>230</v>
      </c>
      <c r="B67" t="str">
        <f>_xlfn.TEXTBEFORE(_xlfn.TEXTAFTER(A67, "|", 1), "|", 1)</f>
        <v>A/northern_shoveler/United_States/24-035744-006/2024</v>
      </c>
      <c r="C67" t="str">
        <f>LOWER(_xlfn.TEXTBEFORE(_xlfn.TEXTAFTER(B67, "/", 1), "/", 1))</f>
        <v>northern_shoveler</v>
      </c>
      <c r="D67" t="str">
        <f>_xlfn.TEXTBEFORE(_xlfn.TEXTAFTER(A67, "|", 3), "|", 1)</f>
        <v>USA</v>
      </c>
      <c r="E67" t="str">
        <f>_xlfn.TEXTBEFORE(_xlfn.TEXTAFTER(A67, "|", 4), "|", 1)</f>
        <v>2024</v>
      </c>
    </row>
    <row r="68" spans="1:5" x14ac:dyDescent="0.3">
      <c r="A68" t="s">
        <v>231</v>
      </c>
      <c r="B68" t="str">
        <f>_xlfn.TEXTBEFORE(_xlfn.TEXTAFTER(A68, "|", 1), "|", 1)</f>
        <v>A/northern_pintail/United_States/24-035712-006/2024</v>
      </c>
      <c r="C68" t="str">
        <f>LOWER(_xlfn.TEXTBEFORE(_xlfn.TEXTAFTER(B68, "/", 1), "/", 1))</f>
        <v>northern_pintail</v>
      </c>
      <c r="D68" t="str">
        <f>_xlfn.TEXTBEFORE(_xlfn.TEXTAFTER(A68, "|", 3), "|", 1)</f>
        <v>USA</v>
      </c>
      <c r="E68" t="str">
        <f>_xlfn.TEXTBEFORE(_xlfn.TEXTAFTER(A68, "|", 4), "|", 1)</f>
        <v>2024</v>
      </c>
    </row>
    <row r="69" spans="1:5" x14ac:dyDescent="0.3">
      <c r="A69" t="s">
        <v>232</v>
      </c>
      <c r="B69" t="str">
        <f>_xlfn.TEXTBEFORE(_xlfn.TEXTAFTER(A69, "|", 1), "|", 1)</f>
        <v>A/wood_duck/United_States/24-035710-002/2024</v>
      </c>
      <c r="C69" t="str">
        <f>LOWER(_xlfn.TEXTBEFORE(_xlfn.TEXTAFTER(B69, "/", 1), "/", 1))</f>
        <v>wood_duck</v>
      </c>
      <c r="D69" t="str">
        <f>_xlfn.TEXTBEFORE(_xlfn.TEXTAFTER(A69, "|", 3), "|", 1)</f>
        <v>USA</v>
      </c>
      <c r="E69" t="str">
        <f>_xlfn.TEXTBEFORE(_xlfn.TEXTAFTER(A69, "|", 4), "|", 1)</f>
        <v>2024</v>
      </c>
    </row>
    <row r="70" spans="1:5" x14ac:dyDescent="0.3">
      <c r="A70" t="s">
        <v>233</v>
      </c>
      <c r="B70" t="str">
        <f>_xlfn.TEXTBEFORE(_xlfn.TEXTAFTER(A70, "|", 1), "|", 1)</f>
        <v>A/green_winged_teal/United_States/24-035710-001/2024</v>
      </c>
      <c r="C70" t="str">
        <f>LOWER(_xlfn.TEXTBEFORE(_xlfn.TEXTAFTER(B70, "/", 1), "/", 1))</f>
        <v>green_winged_teal</v>
      </c>
      <c r="D70" t="str">
        <f>_xlfn.TEXTBEFORE(_xlfn.TEXTAFTER(A70, "|", 3), "|", 1)</f>
        <v>USA</v>
      </c>
      <c r="E70" t="str">
        <f>_xlfn.TEXTBEFORE(_xlfn.TEXTAFTER(A70, "|", 4), "|", 1)</f>
        <v>2024</v>
      </c>
    </row>
    <row r="71" spans="1:5" x14ac:dyDescent="0.3">
      <c r="A71" t="s">
        <v>234</v>
      </c>
      <c r="B71" t="str">
        <f>_xlfn.TEXTBEFORE(_xlfn.TEXTAFTER(A71, "|", 1), "|", 1)</f>
        <v>A/ring_necked_duck/United_States/24-034931-003/2024</v>
      </c>
      <c r="C71" t="str">
        <f>LOWER(_xlfn.TEXTBEFORE(_xlfn.TEXTAFTER(B71, "/", 1), "/", 1))</f>
        <v>ring_necked_duck</v>
      </c>
      <c r="D71" t="str">
        <f>_xlfn.TEXTBEFORE(_xlfn.TEXTAFTER(A71, "|", 3), "|", 1)</f>
        <v>USA</v>
      </c>
      <c r="E71" t="str">
        <f>_xlfn.TEXTBEFORE(_xlfn.TEXTAFTER(A71, "|", 4), "|", 1)</f>
        <v>2024</v>
      </c>
    </row>
    <row r="72" spans="1:5" x14ac:dyDescent="0.3">
      <c r="A72" t="s">
        <v>235</v>
      </c>
      <c r="B72" t="str">
        <f>_xlfn.TEXTBEFORE(_xlfn.TEXTAFTER(A72, "|", 1), "|", 1)</f>
        <v>A/green_winged_teal/United_States/24-034931-001/2024</v>
      </c>
      <c r="C72" t="str">
        <f>LOWER(_xlfn.TEXTBEFORE(_xlfn.TEXTAFTER(B72, "/", 1), "/", 1))</f>
        <v>green_winged_teal</v>
      </c>
      <c r="D72" t="str">
        <f>_xlfn.TEXTBEFORE(_xlfn.TEXTAFTER(A72, "|", 3), "|", 1)</f>
        <v>USA</v>
      </c>
      <c r="E72" t="str">
        <f>_xlfn.TEXTBEFORE(_xlfn.TEXTAFTER(A72, "|", 4), "|", 1)</f>
        <v>2024</v>
      </c>
    </row>
    <row r="73" spans="1:5" x14ac:dyDescent="0.3">
      <c r="A73" t="s">
        <v>236</v>
      </c>
      <c r="B73" t="str">
        <f>_xlfn.TEXTBEFORE(_xlfn.TEXTAFTER(A73, "|", 1), "|", 1)</f>
        <v>A/canada_goose/United_States/24-034882-001/2024</v>
      </c>
      <c r="C73" t="str">
        <f>LOWER(_xlfn.TEXTBEFORE(_xlfn.TEXTAFTER(B73, "/", 1), "/", 1))</f>
        <v>canada_goose</v>
      </c>
      <c r="D73" t="str">
        <f>_xlfn.TEXTBEFORE(_xlfn.TEXTAFTER(A73, "|", 3), "|", 1)</f>
        <v>USA</v>
      </c>
      <c r="E73" t="str">
        <f>_xlfn.TEXTBEFORE(_xlfn.TEXTAFTER(A73, "|", 4), "|", 1)</f>
        <v>2024</v>
      </c>
    </row>
    <row r="74" spans="1:5" x14ac:dyDescent="0.3">
      <c r="A74" t="s">
        <v>237</v>
      </c>
      <c r="B74" t="str">
        <f>_xlfn.TEXTBEFORE(_xlfn.TEXTAFTER(A74, "|", 1), "|", 1)</f>
        <v>A/wild_duck/United_States/24-032137-004/2024</v>
      </c>
      <c r="C74" t="str">
        <f>LOWER(_xlfn.TEXTBEFORE(_xlfn.TEXTAFTER(B74, "/", 1), "/", 1))</f>
        <v>wild_duck</v>
      </c>
      <c r="D74" t="str">
        <f>_xlfn.TEXTBEFORE(_xlfn.TEXTAFTER(A74, "|", 3), "|", 1)</f>
        <v>USA</v>
      </c>
      <c r="E74" t="str">
        <f>_xlfn.TEXTBEFORE(_xlfn.TEXTAFTER(A74, "|", 4), "|", 1)</f>
        <v>2024</v>
      </c>
    </row>
    <row r="75" spans="1:5" x14ac:dyDescent="0.3">
      <c r="A75" t="s">
        <v>238</v>
      </c>
      <c r="B75" t="str">
        <f>_xlfn.TEXTBEFORE(_xlfn.TEXTAFTER(A75, "|", 1), "|", 1)</f>
        <v>A/canada_goose/United_States/24-038507-001/2024</v>
      </c>
      <c r="C75" t="str">
        <f>LOWER(_xlfn.TEXTBEFORE(_xlfn.TEXTAFTER(B75, "/", 1), "/", 1))</f>
        <v>canada_goose</v>
      </c>
      <c r="D75" t="str">
        <f>_xlfn.TEXTBEFORE(_xlfn.TEXTAFTER(A75, "|", 3), "|", 1)</f>
        <v>USA</v>
      </c>
      <c r="E75" t="str">
        <f>_xlfn.TEXTBEFORE(_xlfn.TEXTAFTER(A75, "|", 4), "|", 1)</f>
        <v>2024</v>
      </c>
    </row>
    <row r="76" spans="1:5" x14ac:dyDescent="0.3">
      <c r="A76" t="s">
        <v>239</v>
      </c>
      <c r="B76" t="str">
        <f>_xlfn.TEXTBEFORE(_xlfn.TEXTAFTER(A76, "|", 1), "|", 1)</f>
        <v>A/green_winged_teal/United_States/24-031815-001/2024</v>
      </c>
      <c r="C76" t="str">
        <f>LOWER(_xlfn.TEXTBEFORE(_xlfn.TEXTAFTER(B76, "/", 1), "/", 1))</f>
        <v>green_winged_teal</v>
      </c>
      <c r="D76" t="str">
        <f>_xlfn.TEXTBEFORE(_xlfn.TEXTAFTER(A76, "|", 3), "|", 1)</f>
        <v>USA</v>
      </c>
      <c r="E76" t="str">
        <f>_xlfn.TEXTBEFORE(_xlfn.TEXTAFTER(A76, "|", 4), "|", 1)</f>
        <v>2024</v>
      </c>
    </row>
    <row r="77" spans="1:5" x14ac:dyDescent="0.3">
      <c r="A77" t="s">
        <v>240</v>
      </c>
      <c r="B77" t="str">
        <f>_xlfn.TEXTBEFORE(_xlfn.TEXTAFTER(A77, "|", 1), "|", 1)</f>
        <v>A/great_horned_owl/United_States/24-035673-001/2024</v>
      </c>
      <c r="C77" t="str">
        <f>LOWER(_xlfn.TEXTBEFORE(_xlfn.TEXTAFTER(B77, "/", 1), "/", 1))</f>
        <v>great_horned_owl</v>
      </c>
      <c r="D77" t="str">
        <f>_xlfn.TEXTBEFORE(_xlfn.TEXTAFTER(A77, "|", 3), "|", 1)</f>
        <v>USA</v>
      </c>
      <c r="E77" t="str">
        <f>_xlfn.TEXTBEFORE(_xlfn.TEXTAFTER(A77, "|", 4), "|", 1)</f>
        <v>2024</v>
      </c>
    </row>
    <row r="78" spans="1:5" x14ac:dyDescent="0.3">
      <c r="A78" t="s">
        <v>241</v>
      </c>
      <c r="B78" t="str">
        <f>_xlfn.TEXTBEFORE(_xlfn.TEXTAFTER(A78, "|", 1), "|", 1)</f>
        <v>A/northern_pintail/United_States/25-005748-001/2024</v>
      </c>
      <c r="C78" t="str">
        <f>LOWER(_xlfn.TEXTBEFORE(_xlfn.TEXTAFTER(B78, "/", 1), "/", 1))</f>
        <v>northern_pintail</v>
      </c>
      <c r="D78" t="str">
        <f>_xlfn.TEXTBEFORE(_xlfn.TEXTAFTER(A78, "|", 3), "|", 1)</f>
        <v>USA</v>
      </c>
      <c r="E78" t="str">
        <f>_xlfn.TEXTBEFORE(_xlfn.TEXTAFTER(A78, "|", 4), "|", 1)</f>
        <v>2024</v>
      </c>
    </row>
    <row r="79" spans="1:5" x14ac:dyDescent="0.3">
      <c r="A79" t="s">
        <v>242</v>
      </c>
      <c r="B79" t="str">
        <f>_xlfn.TEXTBEFORE(_xlfn.TEXTAFTER(A79, "|", 1), "|", 1)</f>
        <v>A/bald_eagle/United_States/24-035390-001/2024</v>
      </c>
      <c r="C79" t="str">
        <f>LOWER(_xlfn.TEXTBEFORE(_xlfn.TEXTAFTER(B79, "/", 1), "/", 1))</f>
        <v>bald_eagle</v>
      </c>
      <c r="D79" t="str">
        <f>_xlfn.TEXTBEFORE(_xlfn.TEXTAFTER(A79, "|", 3), "|", 1)</f>
        <v>USA</v>
      </c>
      <c r="E79" t="str">
        <f>_xlfn.TEXTBEFORE(_xlfn.TEXTAFTER(A79, "|", 4), "|", 1)</f>
        <v>2024</v>
      </c>
    </row>
    <row r="80" spans="1:5" x14ac:dyDescent="0.3">
      <c r="A80" t="s">
        <v>243</v>
      </c>
      <c r="B80" t="str">
        <f>_xlfn.TEXTBEFORE(_xlfn.TEXTAFTER(A80, "|", 1), "|", 1)</f>
        <v>A/redhead_duck/United_States/24-035153-013/2024</v>
      </c>
      <c r="C80" t="str">
        <f>LOWER(_xlfn.TEXTBEFORE(_xlfn.TEXTAFTER(B80, "/", 1), "/", 1))</f>
        <v>redhead_duck</v>
      </c>
      <c r="D80" t="str">
        <f>_xlfn.TEXTBEFORE(_xlfn.TEXTAFTER(A80, "|", 3), "|", 1)</f>
        <v>USA</v>
      </c>
      <c r="E80" t="str">
        <f>_xlfn.TEXTBEFORE(_xlfn.TEXTAFTER(A80, "|", 4), "|", 1)</f>
        <v>2024</v>
      </c>
    </row>
    <row r="81" spans="1:5" x14ac:dyDescent="0.3">
      <c r="A81" t="s">
        <v>244</v>
      </c>
      <c r="B81" t="str">
        <f>_xlfn.TEXTBEFORE(_xlfn.TEXTAFTER(A81, "|", 1), "|", 1)</f>
        <v>A/great_horned_owl/United_States/24-035127-002/2024</v>
      </c>
      <c r="C81" t="str">
        <f>LOWER(_xlfn.TEXTBEFORE(_xlfn.TEXTAFTER(B81, "/", 1), "/", 1))</f>
        <v>great_horned_owl</v>
      </c>
      <c r="D81" t="str">
        <f>_xlfn.TEXTBEFORE(_xlfn.TEXTAFTER(A81, "|", 3), "|", 1)</f>
        <v>USA</v>
      </c>
      <c r="E81" t="str">
        <f>_xlfn.TEXTBEFORE(_xlfn.TEXTAFTER(A81, "|", 4), "|", 1)</f>
        <v>2024</v>
      </c>
    </row>
    <row r="82" spans="1:5" x14ac:dyDescent="0.3">
      <c r="A82" t="s">
        <v>245</v>
      </c>
      <c r="B82" t="str">
        <f>_xlfn.TEXTBEFORE(_xlfn.TEXTAFTER(A82, "|", 1), "|", 1)</f>
        <v>A/green_winged_teal/United_States/25-002459-007/2024</v>
      </c>
      <c r="C82" t="str">
        <f>LOWER(_xlfn.TEXTBEFORE(_xlfn.TEXTAFTER(B82, "/", 1), "/", 1))</f>
        <v>green_winged_teal</v>
      </c>
      <c r="D82" t="str">
        <f>_xlfn.TEXTBEFORE(_xlfn.TEXTAFTER(A82, "|", 3), "|", 1)</f>
        <v>USA</v>
      </c>
      <c r="E82" t="str">
        <f>_xlfn.TEXTBEFORE(_xlfn.TEXTAFTER(A82, "|", 4), "|", 1)</f>
        <v>2024</v>
      </c>
    </row>
    <row r="83" spans="1:5" x14ac:dyDescent="0.3">
      <c r="A83" t="s">
        <v>255</v>
      </c>
      <c r="B83" t="str">
        <f>_xlfn.TEXTBEFORE(_xlfn.TEXTAFTER(A83, "|", 1), "|", 1)</f>
        <v>A/golden_eagle/United_States/24-005917-001/2024</v>
      </c>
      <c r="C83" t="str">
        <f>LOWER(_xlfn.TEXTBEFORE(_xlfn.TEXTAFTER(B83, "/", 1), "/", 1))</f>
        <v>golden_eagle</v>
      </c>
      <c r="D83" t="str">
        <f>_xlfn.TEXTBEFORE(_xlfn.TEXTAFTER(A83, "|", 3), "|", 1)</f>
        <v>USA</v>
      </c>
      <c r="E83" t="str">
        <f>_xlfn.TEXTBEFORE(_xlfn.TEXTAFTER(A83, "|", 4), "|", 1)</f>
        <v>2024</v>
      </c>
    </row>
    <row r="84" spans="1:5" x14ac:dyDescent="0.3">
      <c r="A84" t="s">
        <v>267</v>
      </c>
      <c r="B84" t="str">
        <f>_xlfn.TEXTBEFORE(_xlfn.TEXTAFTER(A84, "|", 1), "|", 1)</f>
        <v>A/common_raven/United_States/24-016886-002/2024</v>
      </c>
      <c r="C84" t="str">
        <f>LOWER(_xlfn.TEXTBEFORE(_xlfn.TEXTAFTER(B84, "/", 1), "/", 1))</f>
        <v>common_raven</v>
      </c>
      <c r="D84" t="str">
        <f>_xlfn.TEXTBEFORE(_xlfn.TEXTAFTER(A84, "|", 3), "|", 1)</f>
        <v>USA</v>
      </c>
      <c r="E84" t="str">
        <f>_xlfn.TEXTBEFORE(_xlfn.TEXTAFTER(A84, "|", 4), "|", 1)</f>
        <v>2024</v>
      </c>
    </row>
    <row r="85" spans="1:5" x14ac:dyDescent="0.3">
      <c r="A85" t="s">
        <v>273</v>
      </c>
      <c r="B85" t="str">
        <f>_xlfn.TEXTBEFORE(_xlfn.TEXTAFTER(A85, "|", 1), "|", 1)</f>
        <v>A/red_tailed_hawk/United_States/24-010161-001/2024</v>
      </c>
      <c r="C85" t="str">
        <f>LOWER(_xlfn.TEXTBEFORE(_xlfn.TEXTAFTER(B85, "/", 1), "/", 1))</f>
        <v>red_tailed_hawk</v>
      </c>
      <c r="D85" t="str">
        <f>_xlfn.TEXTBEFORE(_xlfn.TEXTAFTER(A85, "|", 3), "|", 1)</f>
        <v>USA</v>
      </c>
      <c r="E85" t="str">
        <f>_xlfn.TEXTBEFORE(_xlfn.TEXTAFTER(A85, "|", 4), "|", 1)</f>
        <v>2024</v>
      </c>
    </row>
    <row r="86" spans="1:5" x14ac:dyDescent="0.3">
      <c r="A86" t="s">
        <v>274</v>
      </c>
      <c r="B86" t="str">
        <f>_xlfn.TEXTBEFORE(_xlfn.TEXTAFTER(A86, "|", 1), "|", 1)</f>
        <v>A/mallard_duck/United_States/24-008163-001/2024</v>
      </c>
      <c r="C86" t="str">
        <f>LOWER(_xlfn.TEXTBEFORE(_xlfn.TEXTAFTER(B86, "/", 1), "/", 1))</f>
        <v>mallard_duck</v>
      </c>
      <c r="D86" t="str">
        <f>_xlfn.TEXTBEFORE(_xlfn.TEXTAFTER(A86, "|", 3), "|", 1)</f>
        <v>USA</v>
      </c>
      <c r="E86" t="str">
        <f>_xlfn.TEXTBEFORE(_xlfn.TEXTAFTER(A86, "|", 4), "|", 1)</f>
        <v>2024</v>
      </c>
    </row>
    <row r="87" spans="1:5" x14ac:dyDescent="0.3">
      <c r="A87" t="s">
        <v>275</v>
      </c>
      <c r="B87" t="str">
        <f>_xlfn.TEXTBEFORE(_xlfn.TEXTAFTER(A87, "|", 1), "|", 1)</f>
        <v>A/red_tailed_hawk/United_States/24-007686-001/2024</v>
      </c>
      <c r="C87" t="str">
        <f>LOWER(_xlfn.TEXTBEFORE(_xlfn.TEXTAFTER(B87, "/", 1), "/", 1))</f>
        <v>red_tailed_hawk</v>
      </c>
      <c r="D87" t="str">
        <f>_xlfn.TEXTBEFORE(_xlfn.TEXTAFTER(A87, "|", 3), "|", 1)</f>
        <v>USA</v>
      </c>
      <c r="E87" t="str">
        <f>_xlfn.TEXTBEFORE(_xlfn.TEXTAFTER(A87, "|", 4), "|", 1)</f>
        <v>2024</v>
      </c>
    </row>
    <row r="88" spans="1:5" x14ac:dyDescent="0.3">
      <c r="A88" t="s">
        <v>277</v>
      </c>
      <c r="B88" t="str">
        <f>_xlfn.TEXTBEFORE(_xlfn.TEXTAFTER(A88, "|", 1), "|", 1)</f>
        <v>A/great_horned_owl/United_States/24-002598-002/2024</v>
      </c>
      <c r="C88" t="str">
        <f>LOWER(_xlfn.TEXTBEFORE(_xlfn.TEXTAFTER(B88, "/", 1), "/", 1))</f>
        <v>great_horned_owl</v>
      </c>
      <c r="D88" t="str">
        <f>_xlfn.TEXTBEFORE(_xlfn.TEXTAFTER(A88, "|", 3), "|", 1)</f>
        <v>USA</v>
      </c>
      <c r="E88" t="str">
        <f>_xlfn.TEXTBEFORE(_xlfn.TEXTAFTER(A88, "|", 4), "|", 1)</f>
        <v>2024</v>
      </c>
    </row>
    <row r="89" spans="1:5" x14ac:dyDescent="0.3">
      <c r="A89" t="s">
        <v>278</v>
      </c>
      <c r="B89" t="str">
        <f>_xlfn.TEXTBEFORE(_xlfn.TEXTAFTER(A89, "|", 1), "|", 1)</f>
        <v>A/great_horned_owl/United_States/24-002598-001/2024</v>
      </c>
      <c r="C89" t="str">
        <f>LOWER(_xlfn.TEXTBEFORE(_xlfn.TEXTAFTER(B89, "/", 1), "/", 1))</f>
        <v>great_horned_owl</v>
      </c>
      <c r="D89" t="str">
        <f>_xlfn.TEXTBEFORE(_xlfn.TEXTAFTER(A89, "|", 3), "|", 1)</f>
        <v>USA</v>
      </c>
      <c r="E89" t="str">
        <f>_xlfn.TEXTBEFORE(_xlfn.TEXTAFTER(A89, "|", 4), "|", 1)</f>
        <v>2024</v>
      </c>
    </row>
    <row r="90" spans="1:5" x14ac:dyDescent="0.3">
      <c r="A90" t="s">
        <v>282</v>
      </c>
      <c r="B90" t="str">
        <f>_xlfn.TEXTBEFORE(_xlfn.TEXTAFTER(A90, "|", 1), "|", 1)</f>
        <v>A/american_crow/United_States/24-016886-001/2024</v>
      </c>
      <c r="C90" t="str">
        <f>LOWER(_xlfn.TEXTBEFORE(_xlfn.TEXTAFTER(B90, "/", 1), "/", 1))</f>
        <v>american_crow</v>
      </c>
      <c r="D90" t="str">
        <f>_xlfn.TEXTBEFORE(_xlfn.TEXTAFTER(A90, "|", 3), "|", 1)</f>
        <v>USA</v>
      </c>
      <c r="E90" t="str">
        <f>_xlfn.TEXTBEFORE(_xlfn.TEXTAFTER(A90, "|", 4), "|", 1)</f>
        <v>2024</v>
      </c>
    </row>
    <row r="91" spans="1:5" x14ac:dyDescent="0.3">
      <c r="A91" t="s">
        <v>289</v>
      </c>
      <c r="B91" t="str">
        <f>_xlfn.TEXTBEFORE(_xlfn.TEXTAFTER(A91, "|", 1), "|", 1)</f>
        <v>A/american_crow/United_States/24-006986-002/2024</v>
      </c>
      <c r="C91" t="str">
        <f>LOWER(_xlfn.TEXTBEFORE(_xlfn.TEXTAFTER(B91, "/", 1), "/", 1))</f>
        <v>american_crow</v>
      </c>
      <c r="D91" t="str">
        <f>_xlfn.TEXTBEFORE(_xlfn.TEXTAFTER(A91, "|", 3), "|", 1)</f>
        <v>USA</v>
      </c>
      <c r="E91" t="str">
        <f>_xlfn.TEXTBEFORE(_xlfn.TEXTAFTER(A91, "|", 4), "|", 1)</f>
        <v>2024</v>
      </c>
    </row>
    <row r="92" spans="1:5" x14ac:dyDescent="0.3">
      <c r="A92" t="s">
        <v>290</v>
      </c>
      <c r="B92" t="str">
        <f>_xlfn.TEXTBEFORE(_xlfn.TEXTAFTER(A92, "|", 1), "|", 1)</f>
        <v>A/turkey_vulture/United_States/24-004078-003/2024</v>
      </c>
      <c r="C92" t="str">
        <f>LOWER(_xlfn.TEXTBEFORE(_xlfn.TEXTAFTER(B92, "/", 1), "/", 1))</f>
        <v>turkey_vulture</v>
      </c>
      <c r="D92" t="str">
        <f>_xlfn.TEXTBEFORE(_xlfn.TEXTAFTER(A92, "|", 3), "|", 1)</f>
        <v>USA</v>
      </c>
      <c r="E92" t="str">
        <f>_xlfn.TEXTBEFORE(_xlfn.TEXTAFTER(A92, "|", 4), "|", 1)</f>
        <v>2024</v>
      </c>
    </row>
    <row r="93" spans="1:5" x14ac:dyDescent="0.3">
      <c r="A93" t="s">
        <v>291</v>
      </c>
      <c r="B93" t="str">
        <f>_xlfn.TEXTBEFORE(_xlfn.TEXTAFTER(A93, "|", 1), "|", 1)</f>
        <v>A/common_raven/United_States/24-004078-002/2024</v>
      </c>
      <c r="C93" t="str">
        <f>LOWER(_xlfn.TEXTBEFORE(_xlfn.TEXTAFTER(B93, "/", 1), "/", 1))</f>
        <v>common_raven</v>
      </c>
      <c r="D93" t="str">
        <f>_xlfn.TEXTBEFORE(_xlfn.TEXTAFTER(A93, "|", 3), "|", 1)</f>
        <v>USA</v>
      </c>
      <c r="E93" t="str">
        <f>_xlfn.TEXTBEFORE(_xlfn.TEXTAFTER(A93, "|", 4), "|", 1)</f>
        <v>2024</v>
      </c>
    </row>
    <row r="94" spans="1:5" x14ac:dyDescent="0.3">
      <c r="A94" t="s">
        <v>292</v>
      </c>
      <c r="B94" t="str">
        <f>_xlfn.TEXTBEFORE(_xlfn.TEXTAFTER(A94, "|", 1), "|", 1)</f>
        <v>A/great_horned_owl/United_States/24-004076-004/2024</v>
      </c>
      <c r="C94" t="str">
        <f>LOWER(_xlfn.TEXTBEFORE(_xlfn.TEXTAFTER(B94, "/", 1), "/", 1))</f>
        <v>great_horned_owl</v>
      </c>
      <c r="D94" t="str">
        <f>_xlfn.TEXTBEFORE(_xlfn.TEXTAFTER(A94, "|", 3), "|", 1)</f>
        <v>USA</v>
      </c>
      <c r="E94" t="str">
        <f>_xlfn.TEXTBEFORE(_xlfn.TEXTAFTER(A94, "|", 4), "|", 1)</f>
        <v>2024</v>
      </c>
    </row>
    <row r="95" spans="1:5" x14ac:dyDescent="0.3">
      <c r="A95" t="s">
        <v>31</v>
      </c>
      <c r="B95" t="str">
        <f>_xlfn.TEXTBEFORE(_xlfn.TEXTAFTER(A95, "|", 1), "|", 1)</f>
        <v>A/fox/USA/000628-001/2025</v>
      </c>
      <c r="C95" t="str">
        <f>LOWER(_xlfn.TEXTBEFORE(_xlfn.TEXTAFTER(B95, "/", 1), "/", 1))</f>
        <v>fox</v>
      </c>
      <c r="D95" t="str">
        <f>_xlfn.TEXTBEFORE(_xlfn.TEXTAFTER(A95, "|", 3), "|", 1)</f>
        <v>USA</v>
      </c>
      <c r="E95" t="str">
        <f>_xlfn.TEXTBEFORE(_xlfn.TEXTAFTER(A95, "|", 4), "|", 1)</f>
        <v>2025</v>
      </c>
    </row>
    <row r="96" spans="1:5" x14ac:dyDescent="0.3">
      <c r="A96" t="s">
        <v>33</v>
      </c>
      <c r="B96" t="str">
        <f>_xlfn.TEXTBEFORE(_xlfn.TEXTAFTER(A96, "|", 1), "|", 1)</f>
        <v>A/northern_pintail/USA/03288-001/2025</v>
      </c>
      <c r="C96" t="str">
        <f>LOWER(_xlfn.TEXTBEFORE(_xlfn.TEXTAFTER(B96, "/", 1), "/", 1))</f>
        <v>northern_pintail</v>
      </c>
      <c r="D96" t="str">
        <f>_xlfn.TEXTBEFORE(_xlfn.TEXTAFTER(A96, "|", 3), "|", 1)</f>
        <v>USA</v>
      </c>
      <c r="E96" t="str">
        <f>_xlfn.TEXTBEFORE(_xlfn.TEXTAFTER(A96, "|", 4), "|", 1)</f>
        <v>2025</v>
      </c>
    </row>
    <row r="97" spans="1:5" x14ac:dyDescent="0.3">
      <c r="A97" t="s">
        <v>146</v>
      </c>
      <c r="B97" t="str">
        <f>_xlfn.TEXTBEFORE(_xlfn.TEXTAFTER(A97, "|", 1), "|", 1)</f>
        <v>A/bald_eagle/United_States/25-000778-001/2025</v>
      </c>
      <c r="C97" t="str">
        <f>LOWER(_xlfn.TEXTBEFORE(_xlfn.TEXTAFTER(B97, "/", 1), "/", 1))</f>
        <v>bald_eagle</v>
      </c>
      <c r="D97" t="str">
        <f>_xlfn.TEXTBEFORE(_xlfn.TEXTAFTER(A97, "|", 3), "|", 1)</f>
        <v>USA</v>
      </c>
      <c r="E97" t="str">
        <f>_xlfn.TEXTBEFORE(_xlfn.TEXTAFTER(A97, "|", 4), "|", 1)</f>
        <v>2025</v>
      </c>
    </row>
    <row r="98" spans="1:5" x14ac:dyDescent="0.3">
      <c r="A98" t="s">
        <v>147</v>
      </c>
      <c r="B98" t="str">
        <f>_xlfn.TEXTBEFORE(_xlfn.TEXTAFTER(A98, "|", 1), "|", 1)</f>
        <v>A/red_tailed_hawk/United_States/25-001425-001/2025</v>
      </c>
      <c r="C98" t="str">
        <f>LOWER(_xlfn.TEXTBEFORE(_xlfn.TEXTAFTER(B98, "/", 1), "/", 1))</f>
        <v>red_tailed_hawk</v>
      </c>
      <c r="D98" t="str">
        <f>_xlfn.TEXTBEFORE(_xlfn.TEXTAFTER(A98, "|", 3), "|", 1)</f>
        <v>USA</v>
      </c>
      <c r="E98" t="str">
        <f>_xlfn.TEXTBEFORE(_xlfn.TEXTAFTER(A98, "|", 4), "|", 1)</f>
        <v>2025</v>
      </c>
    </row>
    <row r="99" spans="1:5" x14ac:dyDescent="0.3">
      <c r="A99" t="s">
        <v>153</v>
      </c>
      <c r="B99" t="str">
        <f>_xlfn.TEXTBEFORE(_xlfn.TEXTAFTER(A99, "|", 1), "|", 1)</f>
        <v>A/mallard/United_States/25-003141-009/2025</v>
      </c>
      <c r="C99" t="str">
        <f>LOWER(_xlfn.TEXTBEFORE(_xlfn.TEXTAFTER(B99, "/", 1), "/", 1))</f>
        <v>mallard</v>
      </c>
      <c r="D99" t="str">
        <f>_xlfn.TEXTBEFORE(_xlfn.TEXTAFTER(A99, "|", 3), "|", 1)</f>
        <v>USA</v>
      </c>
      <c r="E99" t="str">
        <f>_xlfn.TEXTBEFORE(_xlfn.TEXTAFTER(A99, "|", 4), "|", 1)</f>
        <v>2025</v>
      </c>
    </row>
    <row r="100" spans="1:5" x14ac:dyDescent="0.3">
      <c r="A100" t="s">
        <v>154</v>
      </c>
      <c r="B100" t="str">
        <f>_xlfn.TEXTBEFORE(_xlfn.TEXTAFTER(A100, "|", 1), "|", 1)</f>
        <v>A/mallard/United_States/25-003141-008/2025</v>
      </c>
      <c r="C100" t="str">
        <f>LOWER(_xlfn.TEXTBEFORE(_xlfn.TEXTAFTER(B100, "/", 1), "/", 1))</f>
        <v>mallard</v>
      </c>
      <c r="D100" t="str">
        <f>_xlfn.TEXTBEFORE(_xlfn.TEXTAFTER(A100, "|", 3), "|", 1)</f>
        <v>USA</v>
      </c>
      <c r="E100" t="str">
        <f>_xlfn.TEXTBEFORE(_xlfn.TEXTAFTER(A100, "|", 4), "|", 1)</f>
        <v>2025</v>
      </c>
    </row>
    <row r="101" spans="1:5" x14ac:dyDescent="0.3">
      <c r="A101" t="s">
        <v>155</v>
      </c>
      <c r="B101" t="str">
        <f>_xlfn.TEXTBEFORE(_xlfn.TEXTAFTER(A101, "|", 1), "|", 1)</f>
        <v>A/bald_eagle/United_States/25-004135-002/2025</v>
      </c>
      <c r="C101" t="str">
        <f>LOWER(_xlfn.TEXTBEFORE(_xlfn.TEXTAFTER(B101, "/", 1), "/", 1))</f>
        <v>bald_eagle</v>
      </c>
      <c r="D101" t="str">
        <f>_xlfn.TEXTBEFORE(_xlfn.TEXTAFTER(A101, "|", 3), "|", 1)</f>
        <v>USA</v>
      </c>
      <c r="E101" t="str">
        <f>_xlfn.TEXTBEFORE(_xlfn.TEXTAFTER(A101, "|", 4), "|", 1)</f>
        <v>2025</v>
      </c>
    </row>
    <row r="102" spans="1:5" x14ac:dyDescent="0.3">
      <c r="A102" t="s">
        <v>156</v>
      </c>
      <c r="B102" t="str">
        <f>_xlfn.TEXTBEFORE(_xlfn.TEXTAFTER(A102, "|", 1), "|", 1)</f>
        <v>A/american_wigeon/United_States/25-004135-009/2025</v>
      </c>
      <c r="C102" t="str">
        <f>LOWER(_xlfn.TEXTBEFORE(_xlfn.TEXTAFTER(B102, "/", 1), "/", 1))</f>
        <v>american_wigeon</v>
      </c>
      <c r="D102" t="str">
        <f>_xlfn.TEXTBEFORE(_xlfn.TEXTAFTER(A102, "|", 3), "|", 1)</f>
        <v>USA</v>
      </c>
      <c r="E102" t="str">
        <f>_xlfn.TEXTBEFORE(_xlfn.TEXTAFTER(A102, "|", 4), "|", 1)</f>
        <v>2025</v>
      </c>
    </row>
    <row r="103" spans="1:5" x14ac:dyDescent="0.3">
      <c r="A103" t="s">
        <v>158</v>
      </c>
      <c r="B103" t="str">
        <f>_xlfn.TEXTBEFORE(_xlfn.TEXTAFTER(A103, "|", 1), "|", 1)</f>
        <v>A/northern_pintail/United_States/25G03288-001/2025</v>
      </c>
      <c r="C103" t="str">
        <f>LOWER(_xlfn.TEXTBEFORE(_xlfn.TEXTAFTER(B103, "/", 1), "/", 1))</f>
        <v>northern_pintail</v>
      </c>
      <c r="D103" t="str">
        <f>_xlfn.TEXTBEFORE(_xlfn.TEXTAFTER(A103, "|", 3), "|", 1)</f>
        <v>USA</v>
      </c>
      <c r="E103" t="str">
        <f>_xlfn.TEXTBEFORE(_xlfn.TEXTAFTER(A103, "|", 4), "|", 1)</f>
        <v>2025</v>
      </c>
    </row>
    <row r="104" spans="1:5" x14ac:dyDescent="0.3">
      <c r="A104" t="s">
        <v>293</v>
      </c>
      <c r="B104" t="str">
        <f>_xlfn.TEXTBEFORE(_xlfn.TEXTAFTER(A104, "|", 1), "|", 1)</f>
        <v>A/mallard_duck/United_States/25G05839-045/2025</v>
      </c>
      <c r="C104" t="str">
        <f>LOWER(_xlfn.TEXTBEFORE(_xlfn.TEXTAFTER(B104, "/", 1), "/", 1))</f>
        <v>mallard_duck</v>
      </c>
      <c r="D104" t="str">
        <f>_xlfn.TEXTBEFORE(_xlfn.TEXTAFTER(A104, "|", 3), "|", 1)</f>
        <v>USA</v>
      </c>
      <c r="E104" t="str">
        <f>_xlfn.TEXTBEFORE(_xlfn.TEXTAFTER(A104, "|", 4), "|", 1)</f>
        <v>2025</v>
      </c>
    </row>
    <row r="105" spans="1:5" x14ac:dyDescent="0.3">
      <c r="A105" t="s">
        <v>294</v>
      </c>
      <c r="B105" t="str">
        <f>_xlfn.TEXTBEFORE(_xlfn.TEXTAFTER(A105, "|", 1), "|", 1)</f>
        <v>A/mallard_duck/United_States/25G05839-025/2025</v>
      </c>
      <c r="C105" t="str">
        <f>LOWER(_xlfn.TEXTBEFORE(_xlfn.TEXTAFTER(B105, "/", 1), "/", 1))</f>
        <v>mallard_duck</v>
      </c>
      <c r="D105" t="str">
        <f>_xlfn.TEXTBEFORE(_xlfn.TEXTAFTER(A105, "|", 3), "|", 1)</f>
        <v>USA</v>
      </c>
      <c r="E105" t="str">
        <f>_xlfn.TEXTBEFORE(_xlfn.TEXTAFTER(A105, "|", 4), "|", 1)</f>
        <v>2025</v>
      </c>
    </row>
    <row r="106" spans="1:5" x14ac:dyDescent="0.3">
      <c r="A106" t="s">
        <v>295</v>
      </c>
      <c r="B106" t="str">
        <f>_xlfn.TEXTBEFORE(_xlfn.TEXTAFTER(A106, "|", 1), "|", 1)</f>
        <v>A/mallard_duck/United_States/25G05839-024/2025</v>
      </c>
      <c r="C106" t="str">
        <f>LOWER(_xlfn.TEXTBEFORE(_xlfn.TEXTAFTER(B106, "/", 1), "/", 1))</f>
        <v>mallard_duck</v>
      </c>
      <c r="D106" t="str">
        <f>_xlfn.TEXTBEFORE(_xlfn.TEXTAFTER(A106, "|", 3), "|", 1)</f>
        <v>USA</v>
      </c>
      <c r="E106" t="str">
        <f>_xlfn.TEXTBEFORE(_xlfn.TEXTAFTER(A106, "|", 4), "|", 1)</f>
        <v>2025</v>
      </c>
    </row>
    <row r="107" spans="1:5" x14ac:dyDescent="0.3">
      <c r="A107" t="s">
        <v>296</v>
      </c>
      <c r="B107" t="str">
        <f>_xlfn.TEXTBEFORE(_xlfn.TEXTAFTER(A107, "|", 1), "|", 1)</f>
        <v>A/mallard_duck/United_States/25G05839-023/2025</v>
      </c>
      <c r="C107" t="str">
        <f>LOWER(_xlfn.TEXTBEFORE(_xlfn.TEXTAFTER(B107, "/", 1), "/", 1))</f>
        <v>mallard_duck</v>
      </c>
      <c r="D107" t="str">
        <f>_xlfn.TEXTBEFORE(_xlfn.TEXTAFTER(A107, "|", 3), "|", 1)</f>
        <v>USA</v>
      </c>
      <c r="E107" t="str">
        <f>_xlfn.TEXTBEFORE(_xlfn.TEXTAFTER(A107, "|", 4), "|", 1)</f>
        <v>2025</v>
      </c>
    </row>
    <row r="108" spans="1:5" x14ac:dyDescent="0.3">
      <c r="A108" t="s">
        <v>297</v>
      </c>
      <c r="B108" t="str">
        <f>_xlfn.TEXTBEFORE(_xlfn.TEXTAFTER(A108, "|", 1), "|", 1)</f>
        <v>A/mallard_duck/United_States/25G05839-020/2025</v>
      </c>
      <c r="C108" t="str">
        <f>LOWER(_xlfn.TEXTBEFORE(_xlfn.TEXTAFTER(B108, "/", 1), "/", 1))</f>
        <v>mallard_duck</v>
      </c>
      <c r="D108" t="str">
        <f>_xlfn.TEXTBEFORE(_xlfn.TEXTAFTER(A108, "|", 3), "|", 1)</f>
        <v>USA</v>
      </c>
      <c r="E108" t="str">
        <f>_xlfn.TEXTBEFORE(_xlfn.TEXTAFTER(A108, "|", 4), "|", 1)</f>
        <v>2025</v>
      </c>
    </row>
    <row r="109" spans="1:5" x14ac:dyDescent="0.3">
      <c r="A109" t="s">
        <v>298</v>
      </c>
      <c r="B109" t="str">
        <f>_xlfn.TEXTBEFORE(_xlfn.TEXTAFTER(A109, "|", 1), "|", 1)</f>
        <v>A/mallard_duck/United_States/25G05839-018/2025</v>
      </c>
      <c r="C109" t="str">
        <f>LOWER(_xlfn.TEXTBEFORE(_xlfn.TEXTAFTER(B109, "/", 1), "/", 1))</f>
        <v>mallard_duck</v>
      </c>
      <c r="D109" t="str">
        <f>_xlfn.TEXTBEFORE(_xlfn.TEXTAFTER(A109, "|", 3), "|", 1)</f>
        <v>USA</v>
      </c>
      <c r="E109" t="str">
        <f>_xlfn.TEXTBEFORE(_xlfn.TEXTAFTER(A109, "|", 4), "|", 1)</f>
        <v>2025</v>
      </c>
    </row>
    <row r="110" spans="1:5" x14ac:dyDescent="0.3">
      <c r="A110" t="s">
        <v>299</v>
      </c>
      <c r="B110" t="str">
        <f>_xlfn.TEXTBEFORE(_xlfn.TEXTAFTER(A110, "|", 1), "|", 1)</f>
        <v>A/mallard_duck/United_States/25G05839-016/2025</v>
      </c>
      <c r="C110" t="str">
        <f>LOWER(_xlfn.TEXTBEFORE(_xlfn.TEXTAFTER(B110, "/", 1), "/", 1))</f>
        <v>mallard_duck</v>
      </c>
      <c r="D110" t="str">
        <f>_xlfn.TEXTBEFORE(_xlfn.TEXTAFTER(A110, "|", 3), "|", 1)</f>
        <v>USA</v>
      </c>
      <c r="E110" t="str">
        <f>_xlfn.TEXTBEFORE(_xlfn.TEXTAFTER(A110, "|", 4), "|", 1)</f>
        <v>2025</v>
      </c>
    </row>
    <row r="111" spans="1:5" x14ac:dyDescent="0.3">
      <c r="A111" t="s">
        <v>300</v>
      </c>
      <c r="B111" t="str">
        <f>_xlfn.TEXTBEFORE(_xlfn.TEXTAFTER(A111, "|", 1), "|", 1)</f>
        <v>A/mallard_duck/United_States/25G05839-013/2025</v>
      </c>
      <c r="C111" t="str">
        <f>LOWER(_xlfn.TEXTBEFORE(_xlfn.TEXTAFTER(B111, "/", 1), "/", 1))</f>
        <v>mallard_duck</v>
      </c>
      <c r="D111" t="str">
        <f>_xlfn.TEXTBEFORE(_xlfn.TEXTAFTER(A111, "|", 3), "|", 1)</f>
        <v>USA</v>
      </c>
      <c r="E111" t="str">
        <f>_xlfn.TEXTBEFORE(_xlfn.TEXTAFTER(A111, "|", 4), "|", 1)</f>
        <v>2025</v>
      </c>
    </row>
    <row r="112" spans="1:5" x14ac:dyDescent="0.3">
      <c r="A112" t="s">
        <v>301</v>
      </c>
      <c r="B112" t="str">
        <f>_xlfn.TEXTBEFORE(_xlfn.TEXTAFTER(A112, "|", 1), "|", 1)</f>
        <v>A/mallard_duck/United_States/25G05839-012/2025</v>
      </c>
      <c r="C112" t="str">
        <f>LOWER(_xlfn.TEXTBEFORE(_xlfn.TEXTAFTER(B112, "/", 1), "/", 1))</f>
        <v>mallard_duck</v>
      </c>
      <c r="D112" t="str">
        <f>_xlfn.TEXTBEFORE(_xlfn.TEXTAFTER(A112, "|", 3), "|", 1)</f>
        <v>USA</v>
      </c>
      <c r="E112" t="str">
        <f>_xlfn.TEXTBEFORE(_xlfn.TEXTAFTER(A112, "|", 4), "|", 1)</f>
        <v>2025</v>
      </c>
    </row>
    <row r="113" spans="1:5" x14ac:dyDescent="0.3">
      <c r="A113" t="s">
        <v>302</v>
      </c>
      <c r="B113" t="str">
        <f>_xlfn.TEXTBEFORE(_xlfn.TEXTAFTER(A113, "|", 1), "|", 1)</f>
        <v>A/mallard_duck/United_States/25G05839-011/2025</v>
      </c>
      <c r="C113" t="str">
        <f>LOWER(_xlfn.TEXTBEFORE(_xlfn.TEXTAFTER(B113, "/", 1), "/", 1))</f>
        <v>mallard_duck</v>
      </c>
      <c r="D113" t="str">
        <f>_xlfn.TEXTBEFORE(_xlfn.TEXTAFTER(A113, "|", 3), "|", 1)</f>
        <v>USA</v>
      </c>
      <c r="E113" t="str">
        <f>_xlfn.TEXTBEFORE(_xlfn.TEXTAFTER(A113, "|", 4), "|", 1)</f>
        <v>2025</v>
      </c>
    </row>
    <row r="114" spans="1:5" x14ac:dyDescent="0.3">
      <c r="A114" t="s">
        <v>303</v>
      </c>
      <c r="B114" t="str">
        <f>_xlfn.TEXTBEFORE(_xlfn.TEXTAFTER(A114, "|", 1), "|", 1)</f>
        <v>A/mallard_duck/United_States/25G05839-010/2025</v>
      </c>
      <c r="C114" t="str">
        <f>LOWER(_xlfn.TEXTBEFORE(_xlfn.TEXTAFTER(B114, "/", 1), "/", 1))</f>
        <v>mallard_duck</v>
      </c>
      <c r="D114" t="str">
        <f>_xlfn.TEXTBEFORE(_xlfn.TEXTAFTER(A114, "|", 3), "|", 1)</f>
        <v>USA</v>
      </c>
      <c r="E114" t="str">
        <f>_xlfn.TEXTBEFORE(_xlfn.TEXTAFTER(A114, "|", 4), "|", 1)</f>
        <v>2025</v>
      </c>
    </row>
    <row r="115" spans="1:5" x14ac:dyDescent="0.3">
      <c r="A115" t="s">
        <v>304</v>
      </c>
      <c r="B115" t="str">
        <f>_xlfn.TEXTBEFORE(_xlfn.TEXTAFTER(A115, "|", 1), "|", 1)</f>
        <v>A/mallard_duck/United_States/25G05839-008/2025</v>
      </c>
      <c r="C115" t="str">
        <f>LOWER(_xlfn.TEXTBEFORE(_xlfn.TEXTAFTER(B115, "/", 1), "/", 1))</f>
        <v>mallard_duck</v>
      </c>
      <c r="D115" t="str">
        <f>_xlfn.TEXTBEFORE(_xlfn.TEXTAFTER(A115, "|", 3), "|", 1)</f>
        <v>USA</v>
      </c>
      <c r="E115" t="str">
        <f>_xlfn.TEXTBEFORE(_xlfn.TEXTAFTER(A115, "|", 4), "|", 1)</f>
        <v>2025</v>
      </c>
    </row>
    <row r="116" spans="1:5" x14ac:dyDescent="0.3">
      <c r="A116" t="s">
        <v>305</v>
      </c>
      <c r="B116" t="str">
        <f>_xlfn.TEXTBEFORE(_xlfn.TEXTAFTER(A116, "|", 1), "|", 1)</f>
        <v>A/mallard_duck/United_States/25G05839-038/2025</v>
      </c>
      <c r="C116" t="str">
        <f>LOWER(_xlfn.TEXTBEFORE(_xlfn.TEXTAFTER(B116, "/", 1), "/", 1))</f>
        <v>mallard_duck</v>
      </c>
      <c r="D116" t="str">
        <f>_xlfn.TEXTBEFORE(_xlfn.TEXTAFTER(A116, "|", 3), "|", 1)</f>
        <v>USA</v>
      </c>
      <c r="E116" t="str">
        <f>_xlfn.TEXTBEFORE(_xlfn.TEXTAFTER(A116, "|", 4), "|", 1)</f>
        <v>2025</v>
      </c>
    </row>
    <row r="117" spans="1:5" x14ac:dyDescent="0.3">
      <c r="A117" t="s">
        <v>306</v>
      </c>
      <c r="B117" t="str">
        <f>_xlfn.TEXTBEFORE(_xlfn.TEXTAFTER(A117, "|", 1), "|", 1)</f>
        <v>A/mallard_duck/United_States/25G05839-037/2025</v>
      </c>
      <c r="C117" t="str">
        <f>LOWER(_xlfn.TEXTBEFORE(_xlfn.TEXTAFTER(B117, "/", 1), "/", 1))</f>
        <v>mallard_duck</v>
      </c>
      <c r="D117" t="str">
        <f>_xlfn.TEXTBEFORE(_xlfn.TEXTAFTER(A117, "|", 3), "|", 1)</f>
        <v>USA</v>
      </c>
      <c r="E117" t="str">
        <f>_xlfn.TEXTBEFORE(_xlfn.TEXTAFTER(A117, "|", 4), "|", 1)</f>
        <v>2025</v>
      </c>
    </row>
    <row r="118" spans="1:5" x14ac:dyDescent="0.3">
      <c r="A118" t="s">
        <v>307</v>
      </c>
      <c r="B118" t="str">
        <f>_xlfn.TEXTBEFORE(_xlfn.TEXTAFTER(A118, "|", 1), "|", 1)</f>
        <v>A/mallard_duck/United_States/25G05839-034/2025</v>
      </c>
      <c r="C118" t="str">
        <f>LOWER(_xlfn.TEXTBEFORE(_xlfn.TEXTAFTER(B118, "/", 1), "/", 1))</f>
        <v>mallard_duck</v>
      </c>
      <c r="D118" t="str">
        <f>_xlfn.TEXTBEFORE(_xlfn.TEXTAFTER(A118, "|", 3), "|", 1)</f>
        <v>USA</v>
      </c>
      <c r="E118" t="str">
        <f>_xlfn.TEXTBEFORE(_xlfn.TEXTAFTER(A118, "|", 4), "|", 1)</f>
        <v>2025</v>
      </c>
    </row>
    <row r="119" spans="1:5" x14ac:dyDescent="0.3">
      <c r="A119" t="s">
        <v>308</v>
      </c>
      <c r="B119" t="str">
        <f>_xlfn.TEXTBEFORE(_xlfn.TEXTAFTER(A119, "|", 1), "|", 1)</f>
        <v>A/mallard_duck/United_States/25G05839-033/2025</v>
      </c>
      <c r="C119" t="str">
        <f>LOWER(_xlfn.TEXTBEFORE(_xlfn.TEXTAFTER(B119, "/", 1), "/", 1))</f>
        <v>mallard_duck</v>
      </c>
      <c r="D119" t="str">
        <f>_xlfn.TEXTBEFORE(_xlfn.TEXTAFTER(A119, "|", 3), "|", 1)</f>
        <v>USA</v>
      </c>
      <c r="E119" t="str">
        <f>_xlfn.TEXTBEFORE(_xlfn.TEXTAFTER(A119, "|", 4), "|", 1)</f>
        <v>2025</v>
      </c>
    </row>
    <row r="120" spans="1:5" x14ac:dyDescent="0.3">
      <c r="A120" t="s">
        <v>309</v>
      </c>
      <c r="B120" t="str">
        <f>_xlfn.TEXTBEFORE(_xlfn.TEXTAFTER(A120, "|", 1), "|", 1)</f>
        <v>A/mallard_duck/United_States/25G05839-032/2025</v>
      </c>
      <c r="C120" t="str">
        <f>LOWER(_xlfn.TEXTBEFORE(_xlfn.TEXTAFTER(B120, "/", 1), "/", 1))</f>
        <v>mallard_duck</v>
      </c>
      <c r="D120" t="str">
        <f>_xlfn.TEXTBEFORE(_xlfn.TEXTAFTER(A120, "|", 3), "|", 1)</f>
        <v>USA</v>
      </c>
      <c r="E120" t="str">
        <f>_xlfn.TEXTBEFORE(_xlfn.TEXTAFTER(A120, "|", 4), "|", 1)</f>
        <v>2025</v>
      </c>
    </row>
    <row r="121" spans="1:5" x14ac:dyDescent="0.3">
      <c r="A121" t="s">
        <v>310</v>
      </c>
      <c r="B121" t="str">
        <f>_xlfn.TEXTBEFORE(_xlfn.TEXTAFTER(A121, "|", 1), "|", 1)</f>
        <v>A/mallard_duck/United_States/25G05839-031/2025</v>
      </c>
      <c r="C121" t="str">
        <f>LOWER(_xlfn.TEXTBEFORE(_xlfn.TEXTAFTER(B121, "/", 1), "/", 1))</f>
        <v>mallard_duck</v>
      </c>
      <c r="D121" t="str">
        <f>_xlfn.TEXTBEFORE(_xlfn.TEXTAFTER(A121, "|", 3), "|", 1)</f>
        <v>USA</v>
      </c>
      <c r="E121" t="str">
        <f>_xlfn.TEXTBEFORE(_xlfn.TEXTAFTER(A121, "|", 4), "|", 1)</f>
        <v>2025</v>
      </c>
    </row>
    <row r="122" spans="1:5" x14ac:dyDescent="0.3">
      <c r="A122" t="s">
        <v>311</v>
      </c>
      <c r="B122" t="str">
        <f>_xlfn.TEXTBEFORE(_xlfn.TEXTAFTER(A122, "|", 1), "|", 1)</f>
        <v>A/mallard_duck/United_States/25G05839-027/2025</v>
      </c>
      <c r="C122" t="str">
        <f>LOWER(_xlfn.TEXTBEFORE(_xlfn.TEXTAFTER(B122, "/", 1), "/", 1))</f>
        <v>mallard_duck</v>
      </c>
      <c r="D122" t="str">
        <f>_xlfn.TEXTBEFORE(_xlfn.TEXTAFTER(A122, "|", 3), "|", 1)</f>
        <v>USA</v>
      </c>
      <c r="E122" t="str">
        <f>_xlfn.TEXTBEFORE(_xlfn.TEXTAFTER(A122, "|", 4), "|", 1)</f>
        <v>2025</v>
      </c>
    </row>
    <row r="123" spans="1:5" x14ac:dyDescent="0.3">
      <c r="A123" t="s">
        <v>312</v>
      </c>
      <c r="B123" t="str">
        <f>_xlfn.TEXTBEFORE(_xlfn.TEXTAFTER(A123, "|", 1), "|", 1)</f>
        <v>A/seagull/United_States/25G05637-006/2025</v>
      </c>
      <c r="C123" t="str">
        <f>LOWER(_xlfn.TEXTBEFORE(_xlfn.TEXTAFTER(B123, "/", 1), "/", 1))</f>
        <v>seagull</v>
      </c>
      <c r="D123" t="str">
        <f>_xlfn.TEXTBEFORE(_xlfn.TEXTAFTER(A123, "|", 3), "|", 1)</f>
        <v>USA</v>
      </c>
      <c r="E123" t="str">
        <f>_xlfn.TEXTBEFORE(_xlfn.TEXTAFTER(A123, "|", 4), "|", 1)</f>
        <v>2025</v>
      </c>
    </row>
    <row r="124" spans="1:5" x14ac:dyDescent="0.3">
      <c r="A124" t="s">
        <v>313</v>
      </c>
      <c r="B124" t="str">
        <f>_xlfn.TEXTBEFORE(_xlfn.TEXTAFTER(A124, "|", 1), "|", 1)</f>
        <v>A/western_gull/United_States/25G05636-003/2025</v>
      </c>
      <c r="C124" t="str">
        <f>LOWER(_xlfn.TEXTBEFORE(_xlfn.TEXTAFTER(B124, "/", 1), "/", 1))</f>
        <v>western_gull</v>
      </c>
      <c r="D124" t="str">
        <f>_xlfn.TEXTBEFORE(_xlfn.TEXTAFTER(A124, "|", 3), "|", 1)</f>
        <v>USA</v>
      </c>
      <c r="E124" t="str">
        <f>_xlfn.TEXTBEFORE(_xlfn.TEXTAFTER(A124, "|", 4), "|", 1)</f>
        <v>2025</v>
      </c>
    </row>
    <row r="125" spans="1:5" x14ac:dyDescent="0.3">
      <c r="A125" t="s">
        <v>314</v>
      </c>
      <c r="B125" t="str">
        <f>_xlfn.TEXTBEFORE(_xlfn.TEXTAFTER(A125, "|", 1), "|", 1)</f>
        <v>A/brown_pelican/United_States/25G05636-001/2025</v>
      </c>
      <c r="C125" t="str">
        <f>LOWER(_xlfn.TEXTBEFORE(_xlfn.TEXTAFTER(B125, "/", 1), "/", 1))</f>
        <v>brown_pelican</v>
      </c>
      <c r="D125" t="str">
        <f>_xlfn.TEXTBEFORE(_xlfn.TEXTAFTER(A125, "|", 3), "|", 1)</f>
        <v>USA</v>
      </c>
      <c r="E125" t="str">
        <f>_xlfn.TEXTBEFORE(_xlfn.TEXTAFTER(A125, "|", 4), "|", 1)</f>
        <v>2025</v>
      </c>
    </row>
    <row r="126" spans="1:5" x14ac:dyDescent="0.3">
      <c r="A126" t="s">
        <v>315</v>
      </c>
      <c r="B126" t="str">
        <f>_xlfn.TEXTBEFORE(_xlfn.TEXTAFTER(A126, "|", 1), "|", 1)</f>
        <v>A/mallard_duck/United_States/25G05839-007/2025</v>
      </c>
      <c r="C126" t="str">
        <f>LOWER(_xlfn.TEXTBEFORE(_xlfn.TEXTAFTER(B126, "/", 1), "/", 1))</f>
        <v>mallard_duck</v>
      </c>
      <c r="D126" t="str">
        <f>_xlfn.TEXTBEFORE(_xlfn.TEXTAFTER(A126, "|", 3), "|", 1)</f>
        <v>USA</v>
      </c>
      <c r="E126" t="str">
        <f>_xlfn.TEXTBEFORE(_xlfn.TEXTAFTER(A126, "|", 4), "|", 1)</f>
        <v>2025</v>
      </c>
    </row>
    <row r="127" spans="1:5" x14ac:dyDescent="0.3">
      <c r="A127" t="s">
        <v>316</v>
      </c>
      <c r="B127" t="str">
        <f>_xlfn.TEXTBEFORE(_xlfn.TEXTAFTER(A127, "|", 1), "|", 1)</f>
        <v>A/mallard_duck/United_States/25G05839-005/2025</v>
      </c>
      <c r="C127" t="str">
        <f>LOWER(_xlfn.TEXTBEFORE(_xlfn.TEXTAFTER(B127, "/", 1), "/", 1))</f>
        <v>mallard_duck</v>
      </c>
      <c r="D127" t="str">
        <f>_xlfn.TEXTBEFORE(_xlfn.TEXTAFTER(A127, "|", 3), "|", 1)</f>
        <v>USA</v>
      </c>
      <c r="E127" t="str">
        <f>_xlfn.TEXTBEFORE(_xlfn.TEXTAFTER(A127, "|", 4), "|", 1)</f>
        <v>2025</v>
      </c>
    </row>
    <row r="128" spans="1:5" x14ac:dyDescent="0.3">
      <c r="A128" t="s">
        <v>317</v>
      </c>
      <c r="B128" t="str">
        <f>_xlfn.TEXTBEFORE(_xlfn.TEXTAFTER(A128, "|", 1), "|", 1)</f>
        <v>A/mallard_duck/United_States/25G05839-001/2025</v>
      </c>
      <c r="C128" t="str">
        <f>LOWER(_xlfn.TEXTBEFORE(_xlfn.TEXTAFTER(B128, "/", 1), "/", 1))</f>
        <v>mallard_duck</v>
      </c>
      <c r="D128" t="str">
        <f>_xlfn.TEXTBEFORE(_xlfn.TEXTAFTER(A128, "|", 3), "|", 1)</f>
        <v>USA</v>
      </c>
      <c r="E128" t="str">
        <f>_xlfn.TEXTBEFORE(_xlfn.TEXTAFTER(A128, "|", 4), "|", 1)</f>
        <v>2025</v>
      </c>
    </row>
    <row r="129" spans="1:5" x14ac:dyDescent="0.3">
      <c r="A129" t="s">
        <v>318</v>
      </c>
      <c r="B129" t="str">
        <f>_xlfn.TEXTBEFORE(_xlfn.TEXTAFTER(A129, "|", 1), "|", 1)</f>
        <v>A/western_gull/United_States/25G05881-001/2025</v>
      </c>
      <c r="C129" t="str">
        <f>LOWER(_xlfn.TEXTBEFORE(_xlfn.TEXTAFTER(B129, "/", 1), "/", 1))</f>
        <v>western_gull</v>
      </c>
      <c r="D129" t="str">
        <f>_xlfn.TEXTBEFORE(_xlfn.TEXTAFTER(A129, "|", 3), "|", 1)</f>
        <v>USA</v>
      </c>
      <c r="E129" t="str">
        <f>_xlfn.TEXTBEFORE(_xlfn.TEXTAFTER(A129, "|", 4), "|", 1)</f>
        <v>2025</v>
      </c>
    </row>
    <row r="130" spans="1:5" x14ac:dyDescent="0.3">
      <c r="A130" t="s">
        <v>319</v>
      </c>
      <c r="B130" t="str">
        <f>_xlfn.TEXTBEFORE(_xlfn.TEXTAFTER(A130, "|", 1), "|", 1)</f>
        <v>A/mallard_duck/United_States/25G05839-058/2025</v>
      </c>
      <c r="C130" t="str">
        <f>LOWER(_xlfn.TEXTBEFORE(_xlfn.TEXTAFTER(B130, "/", 1), "/", 1))</f>
        <v>mallard_duck</v>
      </c>
      <c r="D130" t="str">
        <f>_xlfn.TEXTBEFORE(_xlfn.TEXTAFTER(A130, "|", 3), "|", 1)</f>
        <v>USA</v>
      </c>
      <c r="E130" t="str">
        <f>_xlfn.TEXTBEFORE(_xlfn.TEXTAFTER(A130, "|", 4), "|", 1)</f>
        <v>2025</v>
      </c>
    </row>
    <row r="131" spans="1:5" x14ac:dyDescent="0.3">
      <c r="A131" t="s">
        <v>320</v>
      </c>
      <c r="B131" t="str">
        <f>_xlfn.TEXTBEFORE(_xlfn.TEXTAFTER(A131, "|", 1), "|", 1)</f>
        <v>A/mallard_duck/United_States/25G05839-057/2025</v>
      </c>
      <c r="C131" t="str">
        <f>LOWER(_xlfn.TEXTBEFORE(_xlfn.TEXTAFTER(B131, "/", 1), "/", 1))</f>
        <v>mallard_duck</v>
      </c>
      <c r="D131" t="str">
        <f>_xlfn.TEXTBEFORE(_xlfn.TEXTAFTER(A131, "|", 3), "|", 1)</f>
        <v>USA</v>
      </c>
      <c r="E131" t="str">
        <f>_xlfn.TEXTBEFORE(_xlfn.TEXTAFTER(A131, "|", 4), "|", 1)</f>
        <v>2025</v>
      </c>
    </row>
    <row r="132" spans="1:5" x14ac:dyDescent="0.3">
      <c r="A132" t="s">
        <v>321</v>
      </c>
      <c r="B132" t="str">
        <f>_xlfn.TEXTBEFORE(_xlfn.TEXTAFTER(A132, "|", 1), "|", 1)</f>
        <v>A/mallard_duck/United_States/25G05839-054/2025</v>
      </c>
      <c r="C132" t="str">
        <f>LOWER(_xlfn.TEXTBEFORE(_xlfn.TEXTAFTER(B132, "/", 1), "/", 1))</f>
        <v>mallard_duck</v>
      </c>
      <c r="D132" t="str">
        <f>_xlfn.TEXTBEFORE(_xlfn.TEXTAFTER(A132, "|", 3), "|", 1)</f>
        <v>USA</v>
      </c>
      <c r="E132" t="str">
        <f>_xlfn.TEXTBEFORE(_xlfn.TEXTAFTER(A132, "|", 4), "|", 1)</f>
        <v>2025</v>
      </c>
    </row>
    <row r="133" spans="1:5" x14ac:dyDescent="0.3">
      <c r="A133" t="s">
        <v>322</v>
      </c>
      <c r="B133" t="str">
        <f>_xlfn.TEXTBEFORE(_xlfn.TEXTAFTER(A133, "|", 1), "|", 1)</f>
        <v>A/mallard_duck/United_States/25G05839-053/2025</v>
      </c>
      <c r="C133" t="str">
        <f>LOWER(_xlfn.TEXTBEFORE(_xlfn.TEXTAFTER(B133, "/", 1), "/", 1))</f>
        <v>mallard_duck</v>
      </c>
      <c r="D133" t="str">
        <f>_xlfn.TEXTBEFORE(_xlfn.TEXTAFTER(A133, "|", 3), "|", 1)</f>
        <v>USA</v>
      </c>
      <c r="E133" t="str">
        <f>_xlfn.TEXTBEFORE(_xlfn.TEXTAFTER(A133, "|", 4), "|", 1)</f>
        <v>2025</v>
      </c>
    </row>
    <row r="134" spans="1:5" x14ac:dyDescent="0.3">
      <c r="A134" t="s">
        <v>323</v>
      </c>
      <c r="B134" t="str">
        <f>_xlfn.TEXTBEFORE(_xlfn.TEXTAFTER(A134, "|", 1), "|", 1)</f>
        <v>A/mallard_duck/United_States/25G05839-052/2025</v>
      </c>
      <c r="C134" t="str">
        <f>LOWER(_xlfn.TEXTBEFORE(_xlfn.TEXTAFTER(B134, "/", 1), "/", 1))</f>
        <v>mallard_duck</v>
      </c>
      <c r="D134" t="str">
        <f>_xlfn.TEXTBEFORE(_xlfn.TEXTAFTER(A134, "|", 3), "|", 1)</f>
        <v>USA</v>
      </c>
      <c r="E134" t="str">
        <f>_xlfn.TEXTBEFORE(_xlfn.TEXTAFTER(A134, "|", 4), "|", 1)</f>
        <v>2025</v>
      </c>
    </row>
    <row r="135" spans="1:5" x14ac:dyDescent="0.3">
      <c r="A135" t="s">
        <v>324</v>
      </c>
      <c r="B135" t="str">
        <f>_xlfn.TEXTBEFORE(_xlfn.TEXTAFTER(A135, "|", 1), "|", 1)</f>
        <v>A/mallard_duck/United_States/25G05839-050/2025</v>
      </c>
      <c r="C135" t="str">
        <f>LOWER(_xlfn.TEXTBEFORE(_xlfn.TEXTAFTER(B135, "/", 1), "/", 1))</f>
        <v>mallard_duck</v>
      </c>
      <c r="D135" t="str">
        <f>_xlfn.TEXTBEFORE(_xlfn.TEXTAFTER(A135, "|", 3), "|", 1)</f>
        <v>USA</v>
      </c>
      <c r="E135" t="str">
        <f>_xlfn.TEXTBEFORE(_xlfn.TEXTAFTER(A135, "|", 4), "|", 1)</f>
        <v>2025</v>
      </c>
    </row>
    <row r="136" spans="1:5" x14ac:dyDescent="0.3">
      <c r="A136" t="s">
        <v>325</v>
      </c>
      <c r="B136" t="str">
        <f>_xlfn.TEXTBEFORE(_xlfn.TEXTAFTER(A136, "|", 1), "|", 1)</f>
        <v>A/mallard_duck/United_States/25G05839-046/2025</v>
      </c>
      <c r="C136" t="str">
        <f>LOWER(_xlfn.TEXTBEFORE(_xlfn.TEXTAFTER(B136, "/", 1), "/", 1))</f>
        <v>mallard_duck</v>
      </c>
      <c r="D136" t="str">
        <f>_xlfn.TEXTBEFORE(_xlfn.TEXTAFTER(A136, "|", 3), "|", 1)</f>
        <v>USA</v>
      </c>
      <c r="E136" t="str">
        <f>_xlfn.TEXTBEFORE(_xlfn.TEXTAFTER(A136, "|", 4), "|", 1)</f>
        <v>2025</v>
      </c>
    </row>
    <row r="137" spans="1:5" x14ac:dyDescent="0.3">
      <c r="A137" t="s">
        <v>326</v>
      </c>
      <c r="B137" t="str">
        <f>_xlfn.TEXTBEFORE(_xlfn.TEXTAFTER(A137, "|", 1), "|", 1)</f>
        <v>A/mallard_duck/United_States/25G05839-044/2025</v>
      </c>
      <c r="C137" t="str">
        <f>LOWER(_xlfn.TEXTBEFORE(_xlfn.TEXTAFTER(B137, "/", 1), "/", 1))</f>
        <v>mallard_duck</v>
      </c>
      <c r="D137" t="str">
        <f>_xlfn.TEXTBEFORE(_xlfn.TEXTAFTER(A137, "|", 3), "|", 1)</f>
        <v>USA</v>
      </c>
      <c r="E137" t="str">
        <f>_xlfn.TEXTBEFORE(_xlfn.TEXTAFTER(A137, "|", 4), "|", 1)</f>
        <v>2025</v>
      </c>
    </row>
    <row r="138" spans="1:5" x14ac:dyDescent="0.3">
      <c r="A138" t="s">
        <v>327</v>
      </c>
      <c r="B138" t="str">
        <f>_xlfn.TEXTBEFORE(_xlfn.TEXTAFTER(A138, "|", 1), "|", 1)</f>
        <v>A/mallard_duck/United_States/25G05839-040/2025</v>
      </c>
      <c r="C138" t="str">
        <f>LOWER(_xlfn.TEXTBEFORE(_xlfn.TEXTAFTER(B138, "/", 1), "/", 1))</f>
        <v>mallard_duck</v>
      </c>
      <c r="D138" t="str">
        <f>_xlfn.TEXTBEFORE(_xlfn.TEXTAFTER(A138, "|", 3), "|", 1)</f>
        <v>USA</v>
      </c>
      <c r="E138" t="str">
        <f>_xlfn.TEXTBEFORE(_xlfn.TEXTAFTER(A138, "|", 4), "|", 1)</f>
        <v>2025</v>
      </c>
    </row>
    <row r="139" spans="1:5" x14ac:dyDescent="0.3">
      <c r="A139" t="s">
        <v>328</v>
      </c>
      <c r="B139" t="str">
        <f>_xlfn.TEXTBEFORE(_xlfn.TEXTAFTER(A139, "|", 1), "|", 1)</f>
        <v>A/raccoon/United_States/25G05693-001/2025</v>
      </c>
      <c r="C139" t="str">
        <f>LOWER(_xlfn.TEXTBEFORE(_xlfn.TEXTAFTER(B139, "/", 1), "/", 1))</f>
        <v>raccoon</v>
      </c>
      <c r="D139" t="str">
        <f>_xlfn.TEXTBEFORE(_xlfn.TEXTAFTER(A139, "|", 3), "|", 1)</f>
        <v>USA</v>
      </c>
      <c r="E139" t="str">
        <f>_xlfn.TEXTBEFORE(_xlfn.TEXTAFTER(A139, "|", 4), "|", 1)</f>
        <v>2025</v>
      </c>
    </row>
    <row r="140" spans="1:5" x14ac:dyDescent="0.3">
      <c r="A140" t="s">
        <v>329</v>
      </c>
      <c r="B140" t="str">
        <f>_xlfn.TEXTBEFORE(_xlfn.TEXTAFTER(A140, "|", 1), "|", 1)</f>
        <v>A/seagull/United_States/25G05664-001/2025</v>
      </c>
      <c r="C140" t="str">
        <f>LOWER(_xlfn.TEXTBEFORE(_xlfn.TEXTAFTER(B140, "/", 1), "/", 1))</f>
        <v>seagull</v>
      </c>
      <c r="D140" t="str">
        <f>_xlfn.TEXTBEFORE(_xlfn.TEXTAFTER(A140, "|", 3), "|", 1)</f>
        <v>USA</v>
      </c>
      <c r="E140" t="str">
        <f>_xlfn.TEXTBEFORE(_xlfn.TEXTAFTER(A140, "|", 4), "|", 1)</f>
        <v>2025</v>
      </c>
    </row>
    <row r="141" spans="1:5" x14ac:dyDescent="0.3">
      <c r="A141" t="s">
        <v>330</v>
      </c>
      <c r="B141" t="str">
        <f>_xlfn.TEXTBEFORE(_xlfn.TEXTAFTER(A141, "|", 1), "|", 1)</f>
        <v>A/gull/United_States/25G05662-001/2025</v>
      </c>
      <c r="C141" t="str">
        <f>LOWER(_xlfn.TEXTBEFORE(_xlfn.TEXTAFTER(B141, "/", 1), "/", 1))</f>
        <v>gull</v>
      </c>
      <c r="D141" t="str">
        <f>_xlfn.TEXTBEFORE(_xlfn.TEXTAFTER(A141, "|", 3), "|", 1)</f>
        <v>USA</v>
      </c>
      <c r="E141" t="str">
        <f>_xlfn.TEXTBEFORE(_xlfn.TEXTAFTER(A141, "|", 4), "|", 1)</f>
        <v>2025</v>
      </c>
    </row>
    <row r="142" spans="1:5" x14ac:dyDescent="0.3">
      <c r="A142" t="s">
        <v>342</v>
      </c>
      <c r="B142" t="str">
        <f>_xlfn.TEXTBEFORE(_xlfn.TEXTAFTER(A142, "|", 1), "|", 1)</f>
        <v>A/catalina_island_fox/United_States/26G01803-001/2025</v>
      </c>
      <c r="C142" t="str">
        <f>LOWER(_xlfn.TEXTBEFORE(_xlfn.TEXTAFTER(B142, "/", 1), "/", 1))</f>
        <v>catalina_island_fox</v>
      </c>
      <c r="D142" t="str">
        <f>_xlfn.TEXTBEFORE(_xlfn.TEXTAFTER(A142, "|", 3), "|", 1)</f>
        <v>USA</v>
      </c>
      <c r="E142" t="str">
        <f>_xlfn.TEXTBEFORE(_xlfn.TEXTAFTER(A142, "|", 4), "|", 1)</f>
        <v>2025</v>
      </c>
    </row>
    <row r="143" spans="1:5" x14ac:dyDescent="0.3">
      <c r="A143" t="s">
        <v>343</v>
      </c>
      <c r="B143" t="str">
        <f>_xlfn.TEXTBEFORE(_xlfn.TEXTAFTER(A143, "|", 1), "|", 1)</f>
        <v>A/red_fox/United_States/26G01540-001/2025</v>
      </c>
      <c r="C143" t="str">
        <f>LOWER(_xlfn.TEXTBEFORE(_xlfn.TEXTAFTER(B143, "/", 1), "/", 1))</f>
        <v>red_fox</v>
      </c>
      <c r="D143" t="str">
        <f>_xlfn.TEXTBEFORE(_xlfn.TEXTAFTER(A143, "|", 3), "|", 1)</f>
        <v>USA</v>
      </c>
      <c r="E143" t="str">
        <f>_xlfn.TEXTBEFORE(_xlfn.TEXTAFTER(A143, "|", 4), "|", 1)</f>
        <v>2025</v>
      </c>
    </row>
    <row r="144" spans="1:5" x14ac:dyDescent="0.3">
      <c r="A144" t="s">
        <v>344</v>
      </c>
      <c r="B144" t="str">
        <f>_xlfn.TEXTBEFORE(_xlfn.TEXTAFTER(A144, "|", 1), "|", 1)</f>
        <v>A/western_gull/United_States/26G02304-012/2025</v>
      </c>
      <c r="C144" t="str">
        <f>LOWER(_xlfn.TEXTBEFORE(_xlfn.TEXTAFTER(B144, "/", 1), "/", 1))</f>
        <v>western_gull</v>
      </c>
      <c r="D144" t="str">
        <f>_xlfn.TEXTBEFORE(_xlfn.TEXTAFTER(A144, "|", 3), "|", 1)</f>
        <v>USA</v>
      </c>
      <c r="E144" t="str">
        <f>_xlfn.TEXTBEFORE(_xlfn.TEXTAFTER(A144, "|", 4), "|", 1)</f>
        <v>2025</v>
      </c>
    </row>
    <row r="145" spans="1:5" x14ac:dyDescent="0.3">
      <c r="A145" t="s">
        <v>345</v>
      </c>
      <c r="B145" t="str">
        <f>_xlfn.TEXTBEFORE(_xlfn.TEXTAFTER(A145, "|", 1), "|", 1)</f>
        <v>A/western_gull/United_States/26G02304-010/2025</v>
      </c>
      <c r="C145" t="str">
        <f>LOWER(_xlfn.TEXTBEFORE(_xlfn.TEXTAFTER(B145, "/", 1), "/", 1))</f>
        <v>western_gull</v>
      </c>
      <c r="D145" t="str">
        <f>_xlfn.TEXTBEFORE(_xlfn.TEXTAFTER(A145, "|", 3), "|", 1)</f>
        <v>USA</v>
      </c>
      <c r="E145" t="str">
        <f>_xlfn.TEXTBEFORE(_xlfn.TEXTAFTER(A145, "|", 4), "|", 1)</f>
        <v>2025</v>
      </c>
    </row>
    <row r="146" spans="1:5" x14ac:dyDescent="0.3">
      <c r="A146" t="s">
        <v>346</v>
      </c>
      <c r="B146" t="str">
        <f>_xlfn.TEXTBEFORE(_xlfn.TEXTAFTER(A146, "|", 1), "|", 1)</f>
        <v>A/western_gull/United_States/26G02304-004/2025</v>
      </c>
      <c r="C146" t="str">
        <f>LOWER(_xlfn.TEXTBEFORE(_xlfn.TEXTAFTER(B146, "/", 1), "/", 1))</f>
        <v>western_gull</v>
      </c>
      <c r="D146" t="str">
        <f>_xlfn.TEXTBEFORE(_xlfn.TEXTAFTER(A146, "|", 3), "|", 1)</f>
        <v>USA</v>
      </c>
      <c r="E146" t="str">
        <f>_xlfn.TEXTBEFORE(_xlfn.TEXTAFTER(A146, "|", 4), "|", 1)</f>
        <v>2025</v>
      </c>
    </row>
    <row r="147" spans="1:5" x14ac:dyDescent="0.3">
      <c r="A147" t="s">
        <v>549</v>
      </c>
      <c r="B147" t="str">
        <f>_xlfn.TEXTBEFORE(_xlfn.TEXTAFTER(A147, "|", 1), "|", 1)</f>
        <v>A/Bald_Eagle/IA/25-001479-002-original/2025</v>
      </c>
      <c r="C147" t="str">
        <f>LOWER(_xlfn.TEXTBEFORE(_xlfn.TEXTAFTER(B147, "/", 1), "/", 1))</f>
        <v>bald_eagle</v>
      </c>
      <c r="D147" t="str">
        <f>_xlfn.TEXTBEFORE(_xlfn.TEXTAFTER(A147, "|", 3), "|", 1)</f>
        <v>USA-IA</v>
      </c>
      <c r="E147" t="str">
        <f>_xlfn.TEXTBEFORE(_xlfn.TEXTAFTER(A147, "|", 4), "|", 1)</f>
        <v>2025</v>
      </c>
    </row>
    <row r="148" spans="1:5" x14ac:dyDescent="0.3">
      <c r="A148" t="s">
        <v>550</v>
      </c>
      <c r="B148" t="str">
        <f>_xlfn.TEXTBEFORE(_xlfn.TEXTAFTER(A148, "|", 1), "|", 1)</f>
        <v>A/Canada_Goose/IL/25-000616-011-original/2025</v>
      </c>
      <c r="C148" t="str">
        <f>LOWER(_xlfn.TEXTBEFORE(_xlfn.TEXTAFTER(B148, "/", 1), "/", 1))</f>
        <v>canada_goose</v>
      </c>
      <c r="D148" t="str">
        <f>_xlfn.TEXTBEFORE(_xlfn.TEXTAFTER(A148, "|", 3), "|", 1)</f>
        <v>USA-IL</v>
      </c>
      <c r="E148" t="str">
        <f>_xlfn.TEXTBEFORE(_xlfn.TEXTAFTER(A148, "|", 4), "|", 1)</f>
        <v>2025</v>
      </c>
    </row>
    <row r="149" spans="1:5" x14ac:dyDescent="0.3">
      <c r="A149" t="s">
        <v>339</v>
      </c>
      <c r="B149" t="str">
        <f>_xlfn.TEXTBEFORE(_xlfn.TEXTAFTER(A149, "|", 1), "|", 1)</f>
        <v>A/bobcat/United_States/26G01178-001/2026</v>
      </c>
      <c r="C149" t="str">
        <f>LOWER(_xlfn.TEXTBEFORE(_xlfn.TEXTAFTER(B149, "/", 1), "/", 1))</f>
        <v>bobcat</v>
      </c>
      <c r="D149" t="str">
        <f>_xlfn.TEXTBEFORE(_xlfn.TEXTAFTER(A149, "|", 3), "|", 1)</f>
        <v>USA</v>
      </c>
      <c r="E149" t="str">
        <f>_xlfn.TEXTBEFORE(_xlfn.TEXTAFTER(A149, "|", 4), "|", 1)</f>
        <v>2026</v>
      </c>
    </row>
    <row r="150" spans="1:5" x14ac:dyDescent="0.3">
      <c r="A150" t="s">
        <v>341</v>
      </c>
      <c r="B150" t="str">
        <f>_xlfn.TEXTBEFORE(_xlfn.TEXTAFTER(A150, "|", 1), "|", 1)</f>
        <v>A/bald_eagle/United_States/26G01541-002/2026</v>
      </c>
      <c r="C150" t="str">
        <f>LOWER(_xlfn.TEXTBEFORE(_xlfn.TEXTAFTER(B150, "/", 1), "/", 1))</f>
        <v>bald_eagle</v>
      </c>
      <c r="D150" t="str">
        <f>_xlfn.TEXTBEFORE(_xlfn.TEXTAFTER(A150, "|", 3), "|", 1)</f>
        <v>USA</v>
      </c>
      <c r="E150" t="str">
        <f>_xlfn.TEXTBEFORE(_xlfn.TEXTAFTER(A150, "|", 4), "|", 1)</f>
        <v>2026</v>
      </c>
    </row>
    <row r="151" spans="1:5" x14ac:dyDescent="0.3">
      <c r="A151" t="s">
        <v>61</v>
      </c>
      <c r="B151" t="str">
        <f>_xlfn.TEXTBEFORE(_xlfn.TEXTAFTER(A151, "|", 1), "|", 1)</f>
        <v>A/Bald_Eagle/BC/OTH-33-36/2022_(H5N1)</v>
      </c>
      <c r="C151" t="str">
        <f>LOWER(_xlfn.TEXTBEFORE(_xlfn.TEXTAFTER(B151, "/", 1), "/", 1))</f>
        <v>bald_eagle</v>
      </c>
      <c r="D151" t="str">
        <f>_xlfn.TEXTBEFORE(_xlfn.TEXTAFTER(A151, "|", 3), "|", 1)</f>
        <v>Canada-BC</v>
      </c>
      <c r="E151" t="str">
        <f>_xlfn.TEXTBEFORE(_xlfn.TEXTAFTER(A151, "|", 4), "|", 1)</f>
        <v>2022-02-03</v>
      </c>
    </row>
    <row r="152" spans="1:5" x14ac:dyDescent="0.3">
      <c r="A152" t="s">
        <v>151</v>
      </c>
      <c r="B152" t="str">
        <f>_xlfn.TEXTBEFORE(_xlfn.TEXTAFTER(A152, "|", 1), "|", 1)</f>
        <v>A/haliaeetus_leucocephalus/Alaska/22-013001-001/2022</v>
      </c>
      <c r="C152" t="str">
        <f>LOWER(_xlfn.TEXTBEFORE(_xlfn.TEXTAFTER(B152, "/", 1), "/", 1))</f>
        <v>haliaeetus_leucocephalus</v>
      </c>
      <c r="D152" t="str">
        <f>_xlfn.TEXTBEFORE(_xlfn.TEXTAFTER(A152, "|", 3), "|", 1)</f>
        <v>USA-AK</v>
      </c>
      <c r="E152" t="str">
        <f>_xlfn.TEXTBEFORE(_xlfn.TEXTAFTER(A152, "|", 4), "|", 1)</f>
        <v>2022-04-21</v>
      </c>
    </row>
    <row r="153" spans="1:5" x14ac:dyDescent="0.3">
      <c r="A153" t="s">
        <v>152</v>
      </c>
      <c r="B153" t="str">
        <f>_xlfn.TEXTBEFORE(_xlfn.TEXTAFTER(A153, "|", 1), "|", 1)</f>
        <v>A/haliaeetus_leucocephalus/Alaska/22-013831-001/2022</v>
      </c>
      <c r="C153" t="str">
        <f>LOWER(_xlfn.TEXTBEFORE(_xlfn.TEXTAFTER(B153, "/", 1), "/", 1))</f>
        <v>haliaeetus_leucocephalus</v>
      </c>
      <c r="D153" t="str">
        <f>_xlfn.TEXTBEFORE(_xlfn.TEXTAFTER(A153, "|", 3), "|", 1)</f>
        <v>USA-AK</v>
      </c>
      <c r="E153" t="str">
        <f>_xlfn.TEXTBEFORE(_xlfn.TEXTAFTER(A153, "|", 4), "|", 1)</f>
        <v>2022-04-27</v>
      </c>
    </row>
    <row r="154" spans="1:5" x14ac:dyDescent="0.3">
      <c r="A154" t="s">
        <v>109</v>
      </c>
      <c r="B154" t="str">
        <f>_xlfn.TEXTBEFORE(_xlfn.TEXTAFTER(A154, "|", 1), "|", 1)</f>
        <v>A/red_fox/Alaska/22-016300-001/2022</v>
      </c>
      <c r="C154" t="str">
        <f>LOWER(_xlfn.TEXTBEFORE(_xlfn.TEXTAFTER(B154, "/", 1), "/", 1))</f>
        <v>red_fox</v>
      </c>
      <c r="D154" t="str">
        <f>_xlfn.TEXTBEFORE(_xlfn.TEXTAFTER(A154, "|", 3), "|", 1)</f>
        <v>USA-AK</v>
      </c>
      <c r="E154" t="str">
        <f>_xlfn.TEXTBEFORE(_xlfn.TEXTAFTER(A154, "|", 4), "|", 1)</f>
        <v>2022-05-10</v>
      </c>
    </row>
    <row r="155" spans="1:5" x14ac:dyDescent="0.3">
      <c r="A155" t="s">
        <v>463</v>
      </c>
      <c r="B155" t="str">
        <f>_xlfn.TEXTBEFORE(_xlfn.TEXTAFTER(A155, "|", 1), "|", 1)</f>
        <v>A/Bald_eagle/AK/22-015680-001-original/2022</v>
      </c>
      <c r="C155" t="str">
        <f>LOWER(_xlfn.TEXTBEFORE(_xlfn.TEXTAFTER(B155, "/", 1), "/", 1))</f>
        <v>bald_eagle</v>
      </c>
      <c r="D155" t="str">
        <f>_xlfn.TEXTBEFORE(_xlfn.TEXTAFTER(A155, "|", 3), "|", 1)</f>
        <v>USA-AK</v>
      </c>
      <c r="E155" t="str">
        <f>_xlfn.TEXTBEFORE(_xlfn.TEXTAFTER(A155, "|", 4), "|", 1)</f>
        <v>2022-05-11</v>
      </c>
    </row>
    <row r="156" spans="1:5" x14ac:dyDescent="0.3">
      <c r="A156" t="s">
        <v>464</v>
      </c>
      <c r="B156" t="str">
        <f>_xlfn.TEXTBEFORE(_xlfn.TEXTAFTER(A156, "|", 1), "|", 1)</f>
        <v>A/Bald_eagle/AK/22-015682-001-original/2022</v>
      </c>
      <c r="C156" t="str">
        <f>LOWER(_xlfn.TEXTBEFORE(_xlfn.TEXTAFTER(B156, "/", 1), "/", 1))</f>
        <v>bald_eagle</v>
      </c>
      <c r="D156" t="str">
        <f>_xlfn.TEXTBEFORE(_xlfn.TEXTAFTER(A156, "|", 3), "|", 1)</f>
        <v>USA-AK</v>
      </c>
      <c r="E156" t="str">
        <f>_xlfn.TEXTBEFORE(_xlfn.TEXTAFTER(A156, "|", 4), "|", 1)</f>
        <v>2022-05-11</v>
      </c>
    </row>
    <row r="157" spans="1:5" x14ac:dyDescent="0.3">
      <c r="A157" t="s">
        <v>465</v>
      </c>
      <c r="B157" t="str">
        <f>_xlfn.TEXTBEFORE(_xlfn.TEXTAFTER(A157, "|", 1), "|", 1)</f>
        <v>A/Bald_eagle/AK/22-017950-001-original/2022</v>
      </c>
      <c r="C157" t="str">
        <f>LOWER(_xlfn.TEXTBEFORE(_xlfn.TEXTAFTER(B157, "/", 1), "/", 1))</f>
        <v>bald_eagle</v>
      </c>
      <c r="D157" t="str">
        <f>_xlfn.TEXTBEFORE(_xlfn.TEXTAFTER(A157, "|", 3), "|", 1)</f>
        <v>USA-AK</v>
      </c>
      <c r="E157" t="str">
        <f>_xlfn.TEXTBEFORE(_xlfn.TEXTAFTER(A157, "|", 4), "|", 1)</f>
        <v>2022-06-02</v>
      </c>
    </row>
    <row r="158" spans="1:5" x14ac:dyDescent="0.3">
      <c r="A158" t="s">
        <v>487</v>
      </c>
      <c r="B158" t="str">
        <f>_xlfn.TEXTBEFORE(_xlfn.TEXTAFTER(A158, "|", 1), "|", 1)</f>
        <v>A/Glaucous_Gull/AK/22-023553-003-original/2022</v>
      </c>
      <c r="C158" t="str">
        <f>LOWER(_xlfn.TEXTBEFORE(_xlfn.TEXTAFTER(B158, "/", 1), "/", 1))</f>
        <v>glaucous_gull</v>
      </c>
      <c r="D158" t="str">
        <f>_xlfn.TEXTBEFORE(_xlfn.TEXTAFTER(A158, "|", 3), "|", 1)</f>
        <v>USA-AK</v>
      </c>
      <c r="E158" t="str">
        <f>_xlfn.TEXTBEFORE(_xlfn.TEXTAFTER(A158, "|", 4), "|", 1)</f>
        <v>2022-07-12</v>
      </c>
    </row>
    <row r="159" spans="1:5" x14ac:dyDescent="0.3">
      <c r="A159" t="s">
        <v>509</v>
      </c>
      <c r="B159" t="str">
        <f>_xlfn.TEXTBEFORE(_xlfn.TEXTAFTER(A159, "|", 1), "|", 1)</f>
        <v>A/Raven/AK/22-025788-001-original/2022</v>
      </c>
      <c r="C159" t="str">
        <f>LOWER(_xlfn.TEXTBEFORE(_xlfn.TEXTAFTER(B159, "/", 1), "/", 1))</f>
        <v>raven</v>
      </c>
      <c r="D159" t="str">
        <f>_xlfn.TEXTBEFORE(_xlfn.TEXTAFTER(A159, "|", 3), "|", 1)</f>
        <v>USA-AK</v>
      </c>
      <c r="E159" t="str">
        <f>_xlfn.TEXTBEFORE(_xlfn.TEXTAFTER(A159, "|", 4), "|", 1)</f>
        <v>2022-07-31</v>
      </c>
    </row>
    <row r="160" spans="1:5" x14ac:dyDescent="0.3">
      <c r="A160" t="s">
        <v>488</v>
      </c>
      <c r="B160" t="str">
        <f>_xlfn.TEXTBEFORE(_xlfn.TEXTAFTER(A160, "|", 1), "|", 1)</f>
        <v>A/Glaucous_Gull/AK/22-025499-001-original/2022</v>
      </c>
      <c r="C160" t="str">
        <f>LOWER(_xlfn.TEXTBEFORE(_xlfn.TEXTAFTER(B160, "/", 1), "/", 1))</f>
        <v>glaucous_gull</v>
      </c>
      <c r="D160" t="str">
        <f>_xlfn.TEXTBEFORE(_xlfn.TEXTAFTER(A160, "|", 3), "|", 1)</f>
        <v>USA-AK</v>
      </c>
      <c r="E160" t="str">
        <f>_xlfn.TEXTBEFORE(_xlfn.TEXTAFTER(A160, "|", 4), "|", 1)</f>
        <v>2022-08-09</v>
      </c>
    </row>
    <row r="161" spans="1:5" x14ac:dyDescent="0.3">
      <c r="A161" t="s">
        <v>32</v>
      </c>
      <c r="B161" t="str">
        <f>_xlfn.TEXTBEFORE(_xlfn.TEXTAFTER(A161, "|", 1), "|", 1)</f>
        <v>A/northern_pintail/Alaska/USGS-0335/2022</v>
      </c>
      <c r="C161" t="str">
        <f>LOWER(_xlfn.TEXTBEFORE(_xlfn.TEXTAFTER(B161, "/", 1), "/", 1))</f>
        <v>northern_pintail</v>
      </c>
      <c r="D161" t="str">
        <f>_xlfn.TEXTBEFORE(_xlfn.TEXTAFTER(A161, "|", 3), "|", 1)</f>
        <v>USA-AK</v>
      </c>
      <c r="E161" t="str">
        <f>_xlfn.TEXTBEFORE(_xlfn.TEXTAFTER(A161, "|", 4), "|", 1)</f>
        <v>2022-09-14</v>
      </c>
    </row>
    <row r="162" spans="1:5" x14ac:dyDescent="0.3">
      <c r="A162" t="s">
        <v>103</v>
      </c>
      <c r="B162" t="str">
        <f>_xlfn.TEXTBEFORE(_xlfn.TEXTAFTER(A162, "|", 1), "|", 1)</f>
        <v>A/northern_pintail/Alaska/IZ22_0335/2022</v>
      </c>
      <c r="C162" t="str">
        <f>LOWER(_xlfn.TEXTBEFORE(_xlfn.TEXTAFTER(B162, "/", 1), "/", 1))</f>
        <v>northern_pintail</v>
      </c>
      <c r="D162" t="str">
        <f>_xlfn.TEXTBEFORE(_xlfn.TEXTAFTER(A162, "|", 3), "|", 1)</f>
        <v>USA-AK</v>
      </c>
      <c r="E162" t="str">
        <f>_xlfn.TEXTBEFORE(_xlfn.TEXTAFTER(A162, "|", 4), "|", 1)</f>
        <v>2022-09-14</v>
      </c>
    </row>
    <row r="163" spans="1:5" x14ac:dyDescent="0.3">
      <c r="A163" t="s">
        <v>124</v>
      </c>
      <c r="B163" t="str">
        <f>_xlfn.TEXTBEFORE(_xlfn.TEXTAFTER(A163, "|", 1), "|", 1)</f>
        <v>A/northern_pintail/Alaska/IZ22_0333/2022</v>
      </c>
      <c r="C163" t="str">
        <f>LOWER(_xlfn.TEXTBEFORE(_xlfn.TEXTAFTER(B163, "/", 1), "/", 1))</f>
        <v>northern_pintail</v>
      </c>
      <c r="D163" t="str">
        <f>_xlfn.TEXTBEFORE(_xlfn.TEXTAFTER(A163, "|", 3), "|", 1)</f>
        <v>USA-AK</v>
      </c>
      <c r="E163" t="str">
        <f>_xlfn.TEXTBEFORE(_xlfn.TEXTAFTER(A163, "|", 4), "|", 1)</f>
        <v>2022-09-14</v>
      </c>
    </row>
    <row r="164" spans="1:5" x14ac:dyDescent="0.3">
      <c r="A164" t="s">
        <v>501</v>
      </c>
      <c r="B164" t="str">
        <f>_xlfn.TEXTBEFORE(_xlfn.TEXTAFTER(A164, "|", 1), "|", 1)</f>
        <v>A/Northern_pintail/AK/22-039438-020-original/2022</v>
      </c>
      <c r="C164" t="str">
        <f>LOWER(_xlfn.TEXTBEFORE(_xlfn.TEXTAFTER(B164, "/", 1), "/", 1))</f>
        <v>northern_pintail</v>
      </c>
      <c r="D164" t="str">
        <f>_xlfn.TEXTBEFORE(_xlfn.TEXTAFTER(A164, "|", 3), "|", 1)</f>
        <v>USA-AK</v>
      </c>
      <c r="E164" t="str">
        <f>_xlfn.TEXTBEFORE(_xlfn.TEXTAFTER(A164, "|", 4), "|", 1)</f>
        <v>2022-09-14</v>
      </c>
    </row>
    <row r="165" spans="1:5" x14ac:dyDescent="0.3">
      <c r="A165" t="s">
        <v>502</v>
      </c>
      <c r="B165" t="str">
        <f>_xlfn.TEXTBEFORE(_xlfn.TEXTAFTER(A165, "|", 1), "|", 1)</f>
        <v>A/Northern_pintail/AK/22-039438-021-original/2022</v>
      </c>
      <c r="C165" t="str">
        <f>LOWER(_xlfn.TEXTBEFORE(_xlfn.TEXTAFTER(B165, "/", 1), "/", 1))</f>
        <v>northern_pintail</v>
      </c>
      <c r="D165" t="str">
        <f>_xlfn.TEXTBEFORE(_xlfn.TEXTAFTER(A165, "|", 3), "|", 1)</f>
        <v>USA-AK</v>
      </c>
      <c r="E165" t="str">
        <f>_xlfn.TEXTBEFORE(_xlfn.TEXTAFTER(A165, "|", 4), "|", 1)</f>
        <v>2022-09-14</v>
      </c>
    </row>
    <row r="166" spans="1:5" x14ac:dyDescent="0.3">
      <c r="A166" t="s">
        <v>117</v>
      </c>
      <c r="B166" t="str">
        <f>_xlfn.TEXTBEFORE(_xlfn.TEXTAFTER(A166, "|", 1), "|", 1)</f>
        <v>A/northern_pintail/Alaska/IZ22_0637/2022</v>
      </c>
      <c r="C166" t="str">
        <f>LOWER(_xlfn.TEXTBEFORE(_xlfn.TEXTAFTER(B166, "/", 1), "/", 1))</f>
        <v>northern_pintail</v>
      </c>
      <c r="D166" t="str">
        <f>_xlfn.TEXTBEFORE(_xlfn.TEXTAFTER(A166, "|", 3), "|", 1)</f>
        <v>USA-AK</v>
      </c>
      <c r="E166" t="str">
        <f>_xlfn.TEXTBEFORE(_xlfn.TEXTAFTER(A166, "|", 4), "|", 1)</f>
        <v>2022-09-28</v>
      </c>
    </row>
    <row r="167" spans="1:5" x14ac:dyDescent="0.3">
      <c r="A167" t="s">
        <v>503</v>
      </c>
      <c r="B167" t="str">
        <f>_xlfn.TEXTBEFORE(_xlfn.TEXTAFTER(A167, "|", 1), "|", 1)</f>
        <v>A/Northern_pintail/AK/23-002693-009-original/2022</v>
      </c>
      <c r="C167" t="str">
        <f>LOWER(_xlfn.TEXTBEFORE(_xlfn.TEXTAFTER(B167, "/", 1), "/", 1))</f>
        <v>northern_pintail</v>
      </c>
      <c r="D167" t="str">
        <f>_xlfn.TEXTBEFORE(_xlfn.TEXTAFTER(A167, "|", 3), "|", 1)</f>
        <v>USA-AK</v>
      </c>
      <c r="E167" t="str">
        <f>_xlfn.TEXTBEFORE(_xlfn.TEXTAFTER(A167, "|", 4), "|", 1)</f>
        <v>2022-09-28</v>
      </c>
    </row>
    <row r="168" spans="1:5" x14ac:dyDescent="0.3">
      <c r="A168" t="s">
        <v>105</v>
      </c>
      <c r="B168" t="str">
        <f>_xlfn.TEXTBEFORE(_xlfn.TEXTAFTER(A168, "|", 1), "|", 1)</f>
        <v>A/northern_pintail/Alaska/IZ22_0783/2022</v>
      </c>
      <c r="C168" t="str">
        <f>LOWER(_xlfn.TEXTBEFORE(_xlfn.TEXTAFTER(B168, "/", 1), "/", 1))</f>
        <v>northern_pintail</v>
      </c>
      <c r="D168" t="str">
        <f>_xlfn.TEXTBEFORE(_xlfn.TEXTAFTER(A168, "|", 3), "|", 1)</f>
        <v>USA-AK</v>
      </c>
      <c r="E168" t="str">
        <f>_xlfn.TEXTBEFORE(_xlfn.TEXTAFTER(A168, "|", 4), "|", 1)</f>
        <v>2022-09-30</v>
      </c>
    </row>
    <row r="169" spans="1:5" x14ac:dyDescent="0.3">
      <c r="A169" t="s">
        <v>133</v>
      </c>
      <c r="B169" t="str">
        <f>_xlfn.TEXTBEFORE(_xlfn.TEXTAFTER(A169, "|", 1), "|", 1)</f>
        <v>A/northern_pintail/Alaska/IZ22_0800/2022</v>
      </c>
      <c r="C169" t="str">
        <f>LOWER(_xlfn.TEXTBEFORE(_xlfn.TEXTAFTER(B169, "/", 1), "/", 1))</f>
        <v>northern_pintail</v>
      </c>
      <c r="D169" t="str">
        <f>_xlfn.TEXTBEFORE(_xlfn.TEXTAFTER(A169, "|", 3), "|", 1)</f>
        <v>USA-AK</v>
      </c>
      <c r="E169" t="str">
        <f>_xlfn.TEXTBEFORE(_xlfn.TEXTAFTER(A169, "|", 4), "|", 1)</f>
        <v>2022-09-30</v>
      </c>
    </row>
    <row r="170" spans="1:5" x14ac:dyDescent="0.3">
      <c r="A170" t="s">
        <v>504</v>
      </c>
      <c r="B170" t="str">
        <f>_xlfn.TEXTBEFORE(_xlfn.TEXTAFTER(A170, "|", 1), "|", 1)</f>
        <v>A/Northern_pintail/AK/23-002693-022-original/2022</v>
      </c>
      <c r="C170" t="str">
        <f>LOWER(_xlfn.TEXTBEFORE(_xlfn.TEXTAFTER(B170, "/", 1), "/", 1))</f>
        <v>northern_pintail</v>
      </c>
      <c r="D170" t="str">
        <f>_xlfn.TEXTBEFORE(_xlfn.TEXTAFTER(A170, "|", 3), "|", 1)</f>
        <v>USA-AK</v>
      </c>
      <c r="E170" t="str">
        <f>_xlfn.TEXTBEFORE(_xlfn.TEXTAFTER(A170, "|", 4), "|", 1)</f>
        <v>2022-09-30</v>
      </c>
    </row>
    <row r="171" spans="1:5" x14ac:dyDescent="0.3">
      <c r="A171" t="s">
        <v>505</v>
      </c>
      <c r="B171" t="str">
        <f>_xlfn.TEXTBEFORE(_xlfn.TEXTAFTER(A171, "|", 1), "|", 1)</f>
        <v>A/Northern_pintail/AK/23-002693-027-original/2022</v>
      </c>
      <c r="C171" t="str">
        <f>LOWER(_xlfn.TEXTBEFORE(_xlfn.TEXTAFTER(B171, "/", 1), "/", 1))</f>
        <v>northern_pintail</v>
      </c>
      <c r="D171" t="str">
        <f>_xlfn.TEXTBEFORE(_xlfn.TEXTAFTER(A171, "|", 3), "|", 1)</f>
        <v>USA-AK</v>
      </c>
      <c r="E171" t="str">
        <f>_xlfn.TEXTBEFORE(_xlfn.TEXTAFTER(A171, "|", 4), "|", 1)</f>
        <v>2022-09-30</v>
      </c>
    </row>
    <row r="172" spans="1:5" x14ac:dyDescent="0.3">
      <c r="A172" t="s">
        <v>462</v>
      </c>
      <c r="B172" t="str">
        <f>_xlfn.TEXTBEFORE(_xlfn.TEXTAFTER(A172, "|", 1), "|", 1)</f>
        <v>A/American_wigeon/AK/22-034097-007-original-repeat/2022</v>
      </c>
      <c r="C172" t="str">
        <f>LOWER(_xlfn.TEXTBEFORE(_xlfn.TEXTAFTER(B172, "/", 1), "/", 1))</f>
        <v>american_wigeon</v>
      </c>
      <c r="D172" t="str">
        <f>_xlfn.TEXTBEFORE(_xlfn.TEXTAFTER(A172, "|", 3), "|", 1)</f>
        <v>USA-AK</v>
      </c>
      <c r="E172" t="str">
        <f>_xlfn.TEXTBEFORE(_xlfn.TEXTAFTER(A172, "|", 4), "|", 1)</f>
        <v>2022-10-01</v>
      </c>
    </row>
    <row r="173" spans="1:5" x14ac:dyDescent="0.3">
      <c r="A173" t="s">
        <v>119</v>
      </c>
      <c r="B173" t="str">
        <f>_xlfn.TEXTBEFORE(_xlfn.TEXTAFTER(A173, "|", 1), "|", 1)</f>
        <v>A/northern_pintail/Alaska/IZ22_0809/2022</v>
      </c>
      <c r="C173" t="str">
        <f>LOWER(_xlfn.TEXTBEFORE(_xlfn.TEXTAFTER(B173, "/", 1), "/", 1))</f>
        <v>northern_pintail</v>
      </c>
      <c r="D173" t="str">
        <f>_xlfn.TEXTBEFORE(_xlfn.TEXTAFTER(A173, "|", 3), "|", 1)</f>
        <v>USA-AK</v>
      </c>
      <c r="E173" t="str">
        <f>_xlfn.TEXTBEFORE(_xlfn.TEXTAFTER(A173, "|", 4), "|", 1)</f>
        <v>2022-10-02</v>
      </c>
    </row>
    <row r="174" spans="1:5" x14ac:dyDescent="0.3">
      <c r="A174" t="s">
        <v>130</v>
      </c>
      <c r="B174" t="str">
        <f>_xlfn.TEXTBEFORE(_xlfn.TEXTAFTER(A174, "|", 1), "|", 1)</f>
        <v>A/northern_pintail/Alaska/IZ22_0812/2022</v>
      </c>
      <c r="C174" t="str">
        <f>LOWER(_xlfn.TEXTBEFORE(_xlfn.TEXTAFTER(B174, "/", 1), "/", 1))</f>
        <v>northern_pintail</v>
      </c>
      <c r="D174" t="str">
        <f>_xlfn.TEXTBEFORE(_xlfn.TEXTAFTER(A174, "|", 3), "|", 1)</f>
        <v>USA-AK</v>
      </c>
      <c r="E174" t="str">
        <f>_xlfn.TEXTBEFORE(_xlfn.TEXTAFTER(A174, "|", 4), "|", 1)</f>
        <v>2022-10-02</v>
      </c>
    </row>
    <row r="175" spans="1:5" x14ac:dyDescent="0.3">
      <c r="A175" t="s">
        <v>506</v>
      </c>
      <c r="B175" t="str">
        <f>_xlfn.TEXTBEFORE(_xlfn.TEXTAFTER(A175, "|", 1), "|", 1)</f>
        <v>A/Northern_pintail/AK/23-002693-028-original/2022</v>
      </c>
      <c r="C175" t="str">
        <f>LOWER(_xlfn.TEXTBEFORE(_xlfn.TEXTAFTER(B175, "/", 1), "/", 1))</f>
        <v>northern_pintail</v>
      </c>
      <c r="D175" t="str">
        <f>_xlfn.TEXTBEFORE(_xlfn.TEXTAFTER(A175, "|", 3), "|", 1)</f>
        <v>USA-AK</v>
      </c>
      <c r="E175" t="str">
        <f>_xlfn.TEXTBEFORE(_xlfn.TEXTAFTER(A175, "|", 4), "|", 1)</f>
        <v>2022-10-02</v>
      </c>
    </row>
    <row r="176" spans="1:5" x14ac:dyDescent="0.3">
      <c r="A176" t="s">
        <v>507</v>
      </c>
      <c r="B176" t="str">
        <f>_xlfn.TEXTBEFORE(_xlfn.TEXTAFTER(A176, "|", 1), "|", 1)</f>
        <v>A/Northern_pintail/AK/23-002693-029-original/2022</v>
      </c>
      <c r="C176" t="str">
        <f>LOWER(_xlfn.TEXTBEFORE(_xlfn.TEXTAFTER(B176, "/", 1), "/", 1))</f>
        <v>northern_pintail</v>
      </c>
      <c r="D176" t="str">
        <f>_xlfn.TEXTBEFORE(_xlfn.TEXTAFTER(A176, "|", 3), "|", 1)</f>
        <v>USA-AK</v>
      </c>
      <c r="E176" t="str">
        <f>_xlfn.TEXTBEFORE(_xlfn.TEXTAFTER(A176, "|", 4), "|", 1)</f>
        <v>2022-10-02</v>
      </c>
    </row>
    <row r="177" spans="1:5" x14ac:dyDescent="0.3">
      <c r="A177" t="s">
        <v>489</v>
      </c>
      <c r="B177" t="str">
        <f>_xlfn.TEXTBEFORE(_xlfn.TEXTAFTER(A177, "|", 1), "|", 1)</f>
        <v>A/Glaucous_Gull/AK/22-031916-001-original/2022</v>
      </c>
      <c r="C177" t="str">
        <f>LOWER(_xlfn.TEXTBEFORE(_xlfn.TEXTAFTER(B177, "/", 1), "/", 1))</f>
        <v>glaucous_gull</v>
      </c>
      <c r="D177" t="str">
        <f>_xlfn.TEXTBEFORE(_xlfn.TEXTAFTER(A177, "|", 3), "|", 1)</f>
        <v>USA-AK</v>
      </c>
      <c r="E177" t="str">
        <f>_xlfn.TEXTBEFORE(_xlfn.TEXTAFTER(A177, "|", 4), "|", 1)</f>
        <v>2022-10-04</v>
      </c>
    </row>
    <row r="178" spans="1:5" x14ac:dyDescent="0.3">
      <c r="A178" t="s">
        <v>470</v>
      </c>
      <c r="B178" t="str">
        <f>_xlfn.TEXTBEFORE(_xlfn.TEXTAFTER(A178, "|", 1), "|", 1)</f>
        <v>A/Bald_eagle/CO/22-033430-001-original/2022</v>
      </c>
      <c r="C178" t="str">
        <f>LOWER(_xlfn.TEXTBEFORE(_xlfn.TEXTAFTER(B178, "/", 1), "/", 1))</f>
        <v>bald_eagle</v>
      </c>
      <c r="D178" t="str">
        <f>_xlfn.TEXTBEFORE(_xlfn.TEXTAFTER(A178, "|", 3), "|", 1)</f>
        <v>USA-CO</v>
      </c>
      <c r="E178" t="str">
        <f>_xlfn.TEXTBEFORE(_xlfn.TEXTAFTER(A178, "|", 4), "|", 1)</f>
        <v>2022-10-09</v>
      </c>
    </row>
    <row r="179" spans="1:5" x14ac:dyDescent="0.3">
      <c r="A179" t="s">
        <v>490</v>
      </c>
      <c r="B179" t="str">
        <f>_xlfn.TEXTBEFORE(_xlfn.TEXTAFTER(A179, "|", 1), "|", 1)</f>
        <v>A/Glaucous_Gull/AK/22-042131-001-original/2022</v>
      </c>
      <c r="C179" t="str">
        <f>LOWER(_xlfn.TEXTBEFORE(_xlfn.TEXTAFTER(B179, "/", 1), "/", 1))</f>
        <v>glaucous_gull</v>
      </c>
      <c r="D179" t="str">
        <f>_xlfn.TEXTBEFORE(_xlfn.TEXTAFTER(A179, "|", 3), "|", 1)</f>
        <v>USA-AK</v>
      </c>
      <c r="E179" t="str">
        <f>_xlfn.TEXTBEFORE(_xlfn.TEXTAFTER(A179, "|", 4), "|", 1)</f>
        <v>2022-10-20</v>
      </c>
    </row>
    <row r="180" spans="1:5" x14ac:dyDescent="0.3">
      <c r="A180" t="s">
        <v>53</v>
      </c>
      <c r="B180" t="str">
        <f>_xlfn.TEXTBEFORE(_xlfn.TEXTAFTER(A180, "|", 1), "|", 1)</f>
        <v>A/Common_Raven/NT/FAV-0275-16/2023</v>
      </c>
      <c r="C180" t="str">
        <f>LOWER(_xlfn.TEXTBEFORE(_xlfn.TEXTAFTER(B180, "/", 1), "/", 1))</f>
        <v>common_raven</v>
      </c>
      <c r="D180" t="str">
        <f>_xlfn.TEXTBEFORE(_xlfn.TEXTAFTER(A180, "|", 3), "|", 1)</f>
        <v>Canada-NT</v>
      </c>
      <c r="E180" t="str">
        <f>_xlfn.TEXTBEFORE(_xlfn.TEXTAFTER(A180, "|", 4), "|", 1)</f>
        <v>2022-10-26</v>
      </c>
    </row>
    <row r="181" spans="1:5" x14ac:dyDescent="0.3">
      <c r="A181" t="s">
        <v>467</v>
      </c>
      <c r="B181" t="str">
        <f>_xlfn.TEXTBEFORE(_xlfn.TEXTAFTER(A181, "|", 1), "|", 1)</f>
        <v>A/Bald_eagle/AK/22-042131-002-original/2022</v>
      </c>
      <c r="C181" t="str">
        <f>LOWER(_xlfn.TEXTBEFORE(_xlfn.TEXTAFTER(B181, "/", 1), "/", 1))</f>
        <v>bald_eagle</v>
      </c>
      <c r="D181" t="str">
        <f>_xlfn.TEXTBEFORE(_xlfn.TEXTAFTER(A181, "|", 3), "|", 1)</f>
        <v>USA-AK</v>
      </c>
      <c r="E181" t="str">
        <f>_xlfn.TEXTBEFORE(_xlfn.TEXTAFTER(A181, "|", 4), "|", 1)</f>
        <v>2022-10-26</v>
      </c>
    </row>
    <row r="182" spans="1:5" x14ac:dyDescent="0.3">
      <c r="A182" t="s">
        <v>525</v>
      </c>
      <c r="B182" t="str">
        <f>_xlfn.TEXTBEFORE(_xlfn.TEXTAFTER(A182, "|", 1), "|", 1)</f>
        <v>A/Turkey_Vulture/CA/22-035760-001-original/2022</v>
      </c>
      <c r="C182" t="str">
        <f>LOWER(_xlfn.TEXTBEFORE(_xlfn.TEXTAFTER(B182, "/", 1), "/", 1))</f>
        <v>turkey_vulture</v>
      </c>
      <c r="D182" t="str">
        <f>_xlfn.TEXTBEFORE(_xlfn.TEXTAFTER(A182, "|", 3), "|", 1)</f>
        <v>USA-CA</v>
      </c>
      <c r="E182" t="str">
        <f>_xlfn.TEXTBEFORE(_xlfn.TEXTAFTER(A182, "|", 4), "|", 1)</f>
        <v>2022-10-28</v>
      </c>
    </row>
    <row r="183" spans="1:5" x14ac:dyDescent="0.3">
      <c r="A183" t="s">
        <v>27</v>
      </c>
      <c r="B183" t="str">
        <f>_xlfn.TEXTBEFORE(_xlfn.TEXTAFTER(A183, "|", 1), "|", 1)</f>
        <v>A/chicken/California/22-035144-001/2022</v>
      </c>
      <c r="C183" t="str">
        <f>LOWER(_xlfn.TEXTBEFORE(_xlfn.TEXTAFTER(B183, "/", 1), "/", 1))</f>
        <v>chicken</v>
      </c>
      <c r="D183" t="str">
        <f>_xlfn.TEXTBEFORE(_xlfn.TEXTAFTER(A183, "|", 3), "|", 1)</f>
        <v>USA-CA</v>
      </c>
      <c r="E183" t="str">
        <f>_xlfn.TEXTBEFORE(_xlfn.TEXTAFTER(A183, "|", 4), "|", 1)</f>
        <v>2022-10-31</v>
      </c>
    </row>
    <row r="184" spans="1:5" x14ac:dyDescent="0.3">
      <c r="A184" t="s">
        <v>28</v>
      </c>
      <c r="B184" t="str">
        <f>_xlfn.TEXTBEFORE(_xlfn.TEXTAFTER(A184, "|", 1), "|", 1)</f>
        <v>A/domestic_goose/California/22-035144-003/2022</v>
      </c>
      <c r="C184" t="str">
        <f>LOWER(_xlfn.TEXTBEFORE(_xlfn.TEXTAFTER(B184, "/", 1), "/", 1))</f>
        <v>domestic_goose</v>
      </c>
      <c r="D184" t="str">
        <f>_xlfn.TEXTBEFORE(_xlfn.TEXTAFTER(A184, "|", 3), "|", 1)</f>
        <v>USA-CA</v>
      </c>
      <c r="E184" t="str">
        <f>_xlfn.TEXTBEFORE(_xlfn.TEXTAFTER(A184, "|", 4), "|", 1)</f>
        <v>2022-10-31</v>
      </c>
    </row>
    <row r="185" spans="1:5" x14ac:dyDescent="0.3">
      <c r="A185" t="s">
        <v>524</v>
      </c>
      <c r="B185" t="str">
        <f>_xlfn.TEXTBEFORE(_xlfn.TEXTAFTER(A185, "|", 1), "|", 1)</f>
        <v>A/Thayer's_Gull/AK/22-036618-001-original/2022</v>
      </c>
      <c r="C185" t="str">
        <f>LOWER(_xlfn.TEXTBEFORE(_xlfn.TEXTAFTER(B185, "/", 1), "/", 1))</f>
        <v>thayer's_gull</v>
      </c>
      <c r="D185" t="str">
        <f>_xlfn.TEXTBEFORE(_xlfn.TEXTAFTER(A185, "|", 3), "|", 1)</f>
        <v>USA-AK</v>
      </c>
      <c r="E185" t="str">
        <f>_xlfn.TEXTBEFORE(_xlfn.TEXTAFTER(A185, "|", 4), "|", 1)</f>
        <v>2022-11-01</v>
      </c>
    </row>
    <row r="186" spans="1:5" x14ac:dyDescent="0.3">
      <c r="A186" t="s">
        <v>510</v>
      </c>
      <c r="B186" t="str">
        <f>_xlfn.TEXTBEFORE(_xlfn.TEXTAFTER(A186, "|", 1), "|", 1)</f>
        <v>A/Raven/AK/22-037656-001-original/2022</v>
      </c>
      <c r="C186" t="str">
        <f>LOWER(_xlfn.TEXTBEFORE(_xlfn.TEXTAFTER(B186, "/", 1), "/", 1))</f>
        <v>raven</v>
      </c>
      <c r="D186" t="str">
        <f>_xlfn.TEXTBEFORE(_xlfn.TEXTAFTER(A186, "|", 3), "|", 1)</f>
        <v>USA-AK</v>
      </c>
      <c r="E186" t="str">
        <f>_xlfn.TEXTBEFORE(_xlfn.TEXTAFTER(A186, "|", 4), "|", 1)</f>
        <v>2022-11-08</v>
      </c>
    </row>
    <row r="187" spans="1:5" x14ac:dyDescent="0.3">
      <c r="A187" t="s">
        <v>145</v>
      </c>
      <c r="B187" t="str">
        <f>_xlfn.TEXTBEFORE(_xlfn.TEXTAFTER(A187, "|", 1), "|", 1)</f>
        <v>A/Red_Tailed_Hawk/BC/AIVPHL-3168/2022</v>
      </c>
      <c r="C187" t="str">
        <f>LOWER(_xlfn.TEXTBEFORE(_xlfn.TEXTAFTER(B187, "/", 1), "/", 1))</f>
        <v>red_tailed_hawk</v>
      </c>
      <c r="D187" t="str">
        <f>_xlfn.TEXTBEFORE(_xlfn.TEXTAFTER(A187, "|", 3), "|", 1)</f>
        <v>Canada-BC</v>
      </c>
      <c r="E187" t="str">
        <f>_xlfn.TEXTBEFORE(_xlfn.TEXTAFTER(A187, "|", 4), "|", 1)</f>
        <v>2022-11-09</v>
      </c>
    </row>
    <row r="188" spans="1:5" x14ac:dyDescent="0.3">
      <c r="A188" t="s">
        <v>511</v>
      </c>
      <c r="B188" t="str">
        <f>_xlfn.TEXTBEFORE(_xlfn.TEXTAFTER(A188, "|", 1), "|", 1)</f>
        <v>A/Raven/AK/22-037656-002-original/2022</v>
      </c>
      <c r="C188" t="str">
        <f>LOWER(_xlfn.TEXTBEFORE(_xlfn.TEXTAFTER(B188, "/", 1), "/", 1))</f>
        <v>raven</v>
      </c>
      <c r="D188" t="str">
        <f>_xlfn.TEXTBEFORE(_xlfn.TEXTAFTER(A188, "|", 3), "|", 1)</f>
        <v>USA-AK</v>
      </c>
      <c r="E188" t="str">
        <f>_xlfn.TEXTBEFORE(_xlfn.TEXTAFTER(A188, "|", 4), "|", 1)</f>
        <v>2022-11-09</v>
      </c>
    </row>
    <row r="189" spans="1:5" x14ac:dyDescent="0.3">
      <c r="A189" t="s">
        <v>512</v>
      </c>
      <c r="B189" t="str">
        <f>_xlfn.TEXTBEFORE(_xlfn.TEXTAFTER(A189, "|", 1), "|", 1)</f>
        <v>A/Raven/AK/22-037656-003-original/2022</v>
      </c>
      <c r="C189" t="str">
        <f>LOWER(_xlfn.TEXTBEFORE(_xlfn.TEXTAFTER(B189, "/", 1), "/", 1))</f>
        <v>raven</v>
      </c>
      <c r="D189" t="str">
        <f>_xlfn.TEXTBEFORE(_xlfn.TEXTAFTER(A189, "|", 3), "|", 1)</f>
        <v>USA-AK</v>
      </c>
      <c r="E189" t="str">
        <f>_xlfn.TEXTBEFORE(_xlfn.TEXTAFTER(A189, "|", 4), "|", 1)</f>
        <v>2022-11-11</v>
      </c>
    </row>
    <row r="190" spans="1:5" x14ac:dyDescent="0.3">
      <c r="A190" t="s">
        <v>90</v>
      </c>
      <c r="B190" t="str">
        <f>_xlfn.TEXTBEFORE(_xlfn.TEXTAFTER(A190, "|", 1), "|", 1)</f>
        <v>A/Black-billed_Magpie/AB/FAV-1655-1/2022</v>
      </c>
      <c r="C190" t="str">
        <f>LOWER(_xlfn.TEXTBEFORE(_xlfn.TEXTAFTER(B190, "/", 1), "/", 1))</f>
        <v>black-billed_magpie</v>
      </c>
      <c r="D190" t="str">
        <f>_xlfn.TEXTBEFORE(_xlfn.TEXTAFTER(A190, "|", 3), "|", 1)</f>
        <v>Canada-AB</v>
      </c>
      <c r="E190" t="str">
        <f>_xlfn.TEXTBEFORE(_xlfn.TEXTAFTER(A190, "|", 4), "|", 1)</f>
        <v>2022-11-14</v>
      </c>
    </row>
    <row r="191" spans="1:5" x14ac:dyDescent="0.3">
      <c r="A191" t="s">
        <v>91</v>
      </c>
      <c r="B191" t="str">
        <f>_xlfn.TEXTBEFORE(_xlfn.TEXTAFTER(A191, "|", 1), "|", 1)</f>
        <v>A/Wood_Duck/BC/FAV-0053-7/2022</v>
      </c>
      <c r="C191" t="str">
        <f>LOWER(_xlfn.TEXTBEFORE(_xlfn.TEXTAFTER(B191, "/", 1), "/", 1))</f>
        <v>wood_duck</v>
      </c>
      <c r="D191" t="str">
        <f>_xlfn.TEXTBEFORE(_xlfn.TEXTAFTER(A191, "|", 3), "|", 1)</f>
        <v>Canada-BC</v>
      </c>
      <c r="E191" t="str">
        <f>_xlfn.TEXTBEFORE(_xlfn.TEXTAFTER(A191, "|", 4), "|", 1)</f>
        <v>2022-11-14</v>
      </c>
    </row>
    <row r="192" spans="1:5" x14ac:dyDescent="0.3">
      <c r="A192" t="s">
        <v>461</v>
      </c>
      <c r="B192" t="str">
        <f>_xlfn.TEXTBEFORE(_xlfn.TEXTAFTER(A192, "|", 1), "|", 1)</f>
        <v>A/American_crow/WA/22-037636-003-original/2022</v>
      </c>
      <c r="C192" t="str">
        <f>LOWER(_xlfn.TEXTBEFORE(_xlfn.TEXTAFTER(B192, "/", 1), "/", 1))</f>
        <v>american_crow</v>
      </c>
      <c r="D192" t="str">
        <f>_xlfn.TEXTBEFORE(_xlfn.TEXTAFTER(A192, "|", 3), "|", 1)</f>
        <v>USA-WA</v>
      </c>
      <c r="E192" t="str">
        <f>_xlfn.TEXTBEFORE(_xlfn.TEXTAFTER(A192, "|", 4), "|", 1)</f>
        <v>2022-11-15</v>
      </c>
    </row>
    <row r="193" spans="1:5" x14ac:dyDescent="0.3">
      <c r="A193" t="s">
        <v>475</v>
      </c>
      <c r="B193" t="str">
        <f>_xlfn.TEXTBEFORE(_xlfn.TEXTAFTER(A193, "|", 1), "|", 1)</f>
        <v>A/Bonaparte's_Gull/CA/22-039721-006-original-3/2022</v>
      </c>
      <c r="C193" t="str">
        <f>LOWER(_xlfn.TEXTBEFORE(_xlfn.TEXTAFTER(B193, "/", 1), "/", 1))</f>
        <v>bonaparte's_gull</v>
      </c>
      <c r="D193" t="str">
        <f>_xlfn.TEXTBEFORE(_xlfn.TEXTAFTER(A193, "|", 3), "|", 1)</f>
        <v>USA-CA</v>
      </c>
      <c r="E193" t="str">
        <f>_xlfn.TEXTBEFORE(_xlfn.TEXTAFTER(A193, "|", 4), "|", 1)</f>
        <v>2022-11-16</v>
      </c>
    </row>
    <row r="194" spans="1:5" x14ac:dyDescent="0.3">
      <c r="A194" t="s">
        <v>468</v>
      </c>
      <c r="B194" t="str">
        <f>_xlfn.TEXTBEFORE(_xlfn.TEXTAFTER(A194, "|", 1), "|", 1)</f>
        <v>A/Bald_eagle/AK/22-042131-003-original/2022</v>
      </c>
      <c r="C194" t="str">
        <f>LOWER(_xlfn.TEXTBEFORE(_xlfn.TEXTAFTER(B194, "/", 1), "/", 1))</f>
        <v>bald_eagle</v>
      </c>
      <c r="D194" t="str">
        <f>_xlfn.TEXTBEFORE(_xlfn.TEXTAFTER(A194, "|", 3), "|", 1)</f>
        <v>USA-AK</v>
      </c>
      <c r="E194" t="str">
        <f>_xlfn.TEXTBEFORE(_xlfn.TEXTAFTER(A194, "|", 4), "|", 1)</f>
        <v>2022-11-17</v>
      </c>
    </row>
    <row r="195" spans="1:5" x14ac:dyDescent="0.3">
      <c r="A195" t="s">
        <v>519</v>
      </c>
      <c r="B195" t="str">
        <f>_xlfn.TEXTBEFORE(_xlfn.TEXTAFTER(A195, "|", 1), "|", 1)</f>
        <v>A/Red-tailed_hawk/OR/22-038528-001-original/2022</v>
      </c>
      <c r="C195" t="str">
        <f>LOWER(_xlfn.TEXTBEFORE(_xlfn.TEXTAFTER(B195, "/", 1), "/", 1))</f>
        <v>red-tailed_hawk</v>
      </c>
      <c r="D195" t="str">
        <f>_xlfn.TEXTBEFORE(_xlfn.TEXTAFTER(A195, "|", 3), "|", 1)</f>
        <v>USA-OR</v>
      </c>
      <c r="E195" t="str">
        <f>_xlfn.TEXTBEFORE(_xlfn.TEXTAFTER(A195, "|", 4), "|", 1)</f>
        <v>2022-11-18</v>
      </c>
    </row>
    <row r="196" spans="1:5" x14ac:dyDescent="0.3">
      <c r="A196" t="s">
        <v>54</v>
      </c>
      <c r="B196" t="str">
        <f>_xlfn.TEXTBEFORE(_xlfn.TEXTAFTER(A196, "|", 1), "|", 1)</f>
        <v>A/Snow_Goose/BC/FAV-0014-48/2023</v>
      </c>
      <c r="C196" t="str">
        <f>LOWER(_xlfn.TEXTBEFORE(_xlfn.TEXTAFTER(B196, "/", 1), "/", 1))</f>
        <v>snow_goose</v>
      </c>
      <c r="D196" t="str">
        <f>_xlfn.TEXTBEFORE(_xlfn.TEXTAFTER(A196, "|", 3), "|", 1)</f>
        <v>Canada-BC</v>
      </c>
      <c r="E196" t="str">
        <f>_xlfn.TEXTBEFORE(_xlfn.TEXTAFTER(A196, "|", 4), "|", 1)</f>
        <v>2022-11-21</v>
      </c>
    </row>
    <row r="197" spans="1:5" x14ac:dyDescent="0.3">
      <c r="A197" t="s">
        <v>144</v>
      </c>
      <c r="B197" t="str">
        <f>_xlfn.TEXTBEFORE(_xlfn.TEXTAFTER(A197, "|", 1), "|", 1)</f>
        <v>A/Gull/BC/AIVPHL-3399/2022</v>
      </c>
      <c r="C197" t="str">
        <f>LOWER(_xlfn.TEXTBEFORE(_xlfn.TEXTAFTER(B197, "/", 1), "/", 1))</f>
        <v>gull</v>
      </c>
      <c r="D197" t="str">
        <f>_xlfn.TEXTBEFORE(_xlfn.TEXTAFTER(A197, "|", 3), "|", 1)</f>
        <v>Canada-BC</v>
      </c>
      <c r="E197" t="str">
        <f>_xlfn.TEXTBEFORE(_xlfn.TEXTAFTER(A197, "|", 4), "|", 1)</f>
        <v>2022-11-23</v>
      </c>
    </row>
    <row r="198" spans="1:5" x14ac:dyDescent="0.3">
      <c r="A198" t="s">
        <v>92</v>
      </c>
      <c r="B198" t="str">
        <f>_xlfn.TEXTBEFORE(_xlfn.TEXTAFTER(A198, "|", 1), "|", 1)</f>
        <v>A/Red-tailed_Hawk/BC/FAV-0053-38/2022</v>
      </c>
      <c r="C198" t="str">
        <f>LOWER(_xlfn.TEXTBEFORE(_xlfn.TEXTAFTER(B198, "/", 1), "/", 1))</f>
        <v>red-tailed_hawk</v>
      </c>
      <c r="D198" t="str">
        <f>_xlfn.TEXTBEFORE(_xlfn.TEXTAFTER(A198, "|", 3), "|", 1)</f>
        <v>Canada-BC</v>
      </c>
      <c r="E198" t="str">
        <f>_xlfn.TEXTBEFORE(_xlfn.TEXTAFTER(A198, "|", 4), "|", 1)</f>
        <v>2022-11-26</v>
      </c>
    </row>
    <row r="199" spans="1:5" x14ac:dyDescent="0.3">
      <c r="A199" t="s">
        <v>471</v>
      </c>
      <c r="B199" t="str">
        <f>_xlfn.TEXTBEFORE(_xlfn.TEXTAFTER(A199, "|", 1), "|", 1)</f>
        <v>A/Bald_eagle/CO/22-038658-001-original/2022</v>
      </c>
      <c r="C199" t="str">
        <f>LOWER(_xlfn.TEXTBEFORE(_xlfn.TEXTAFTER(B199, "/", 1), "/", 1))</f>
        <v>bald_eagle</v>
      </c>
      <c r="D199" t="str">
        <f>_xlfn.TEXTBEFORE(_xlfn.TEXTAFTER(A199, "|", 3), "|", 1)</f>
        <v>USA-CO</v>
      </c>
      <c r="E199" t="str">
        <f>_xlfn.TEXTBEFORE(_xlfn.TEXTAFTER(A199, "|", 4), "|", 1)</f>
        <v>2022-11-28</v>
      </c>
    </row>
    <row r="200" spans="1:5" x14ac:dyDescent="0.3">
      <c r="A200" t="s">
        <v>49</v>
      </c>
      <c r="B200" t="str">
        <f>_xlfn.TEXTBEFORE(_xlfn.TEXTAFTER(A200, "|", 1), "|", 1)</f>
        <v>A/Great_Horned_Owl/BC/FAV-0154-3/2023</v>
      </c>
      <c r="C200" t="str">
        <f>LOWER(_xlfn.TEXTBEFORE(_xlfn.TEXTAFTER(B200, "/", 1), "/", 1))</f>
        <v>great_horned_owl</v>
      </c>
      <c r="D200" t="str">
        <f>_xlfn.TEXTBEFORE(_xlfn.TEXTAFTER(A200, "|", 3), "|", 1)</f>
        <v>Canada-BC</v>
      </c>
      <c r="E200" t="str">
        <f>_xlfn.TEXTBEFORE(_xlfn.TEXTAFTER(A200, "|", 4), "|", 1)</f>
        <v>2022-11-30</v>
      </c>
    </row>
    <row r="201" spans="1:5" x14ac:dyDescent="0.3">
      <c r="A201" t="s">
        <v>93</v>
      </c>
      <c r="B201" t="str">
        <f>_xlfn.TEXTBEFORE(_xlfn.TEXTAFTER(A201, "|", 1), "|", 1)</f>
        <v>A/Coopers_Hawk/BC/FAV-0053-39/2022</v>
      </c>
      <c r="C201" t="str">
        <f>LOWER(_xlfn.TEXTBEFORE(_xlfn.TEXTAFTER(B201, "/", 1), "/", 1))</f>
        <v>coopers_hawk</v>
      </c>
      <c r="D201" t="str">
        <f>_xlfn.TEXTBEFORE(_xlfn.TEXTAFTER(A201, "|", 3), "|", 1)</f>
        <v>Canada-BC</v>
      </c>
      <c r="E201" t="str">
        <f>_xlfn.TEXTBEFORE(_xlfn.TEXTAFTER(A201, "|", 4), "|", 1)</f>
        <v>2022-12-01</v>
      </c>
    </row>
    <row r="202" spans="1:5" x14ac:dyDescent="0.3">
      <c r="A202" t="s">
        <v>469</v>
      </c>
      <c r="B202" t="str">
        <f>_xlfn.TEXTBEFORE(_xlfn.TEXTAFTER(A202, "|", 1), "|", 1)</f>
        <v>A/Bald_eagle/CA/22-041396-003-original/2022</v>
      </c>
      <c r="C202" t="str">
        <f>LOWER(_xlfn.TEXTBEFORE(_xlfn.TEXTAFTER(B202, "/", 1), "/", 1))</f>
        <v>bald_eagle</v>
      </c>
      <c r="D202" t="str">
        <f>_xlfn.TEXTBEFORE(_xlfn.TEXTAFTER(A202, "|", 3), "|", 1)</f>
        <v>USA-CA</v>
      </c>
      <c r="E202" t="str">
        <f>_xlfn.TEXTBEFORE(_xlfn.TEXTAFTER(A202, "|", 4), "|", 1)</f>
        <v>2022-12-01</v>
      </c>
    </row>
    <row r="203" spans="1:5" x14ac:dyDescent="0.3">
      <c r="A203" t="s">
        <v>492</v>
      </c>
      <c r="B203" t="str">
        <f>_xlfn.TEXTBEFORE(_xlfn.TEXTAFTER(A203, "|", 1), "|", 1)</f>
        <v>A/Great_horned_owl/CA/22-041400-001-original/2022</v>
      </c>
      <c r="C203" t="str">
        <f>LOWER(_xlfn.TEXTBEFORE(_xlfn.TEXTAFTER(B203, "/", 1), "/", 1))</f>
        <v>great_horned_owl</v>
      </c>
      <c r="D203" t="str">
        <f>_xlfn.TEXTBEFORE(_xlfn.TEXTAFTER(A203, "|", 3), "|", 1)</f>
        <v>USA-CA</v>
      </c>
      <c r="E203" t="str">
        <f>_xlfn.TEXTBEFORE(_xlfn.TEXTAFTER(A203, "|", 4), "|", 1)</f>
        <v>2022-12-01</v>
      </c>
    </row>
    <row r="204" spans="1:5" x14ac:dyDescent="0.3">
      <c r="A204" t="s">
        <v>513</v>
      </c>
      <c r="B204" t="str">
        <f>_xlfn.TEXTBEFORE(_xlfn.TEXTAFTER(A204, "|", 1), "|", 1)</f>
        <v>A/Raven/CA/22-041396-002-original/2022</v>
      </c>
      <c r="C204" t="str">
        <f>LOWER(_xlfn.TEXTBEFORE(_xlfn.TEXTAFTER(B204, "/", 1), "/", 1))</f>
        <v>raven</v>
      </c>
      <c r="D204" t="str">
        <f>_xlfn.TEXTBEFORE(_xlfn.TEXTAFTER(A204, "|", 3), "|", 1)</f>
        <v>USA-CA</v>
      </c>
      <c r="E204" t="str">
        <f>_xlfn.TEXTBEFORE(_xlfn.TEXTAFTER(A204, "|", 4), "|", 1)</f>
        <v>2022-12-01</v>
      </c>
    </row>
    <row r="205" spans="1:5" x14ac:dyDescent="0.3">
      <c r="A205" t="s">
        <v>523</v>
      </c>
      <c r="B205" t="str">
        <f>_xlfn.TEXTBEFORE(_xlfn.TEXTAFTER(A205, "|", 1), "|", 1)</f>
        <v>A/Snowy_plover/CA/22-041401-001-original/2022</v>
      </c>
      <c r="C205" t="str">
        <f>LOWER(_xlfn.TEXTBEFORE(_xlfn.TEXTAFTER(B205, "/", 1), "/", 1))</f>
        <v>snowy_plover</v>
      </c>
      <c r="D205" t="str">
        <f>_xlfn.TEXTBEFORE(_xlfn.TEXTAFTER(A205, "|", 3), "|", 1)</f>
        <v>USA-CA</v>
      </c>
      <c r="E205" t="str">
        <f>_xlfn.TEXTBEFORE(_xlfn.TEXTAFTER(A205, "|", 4), "|", 1)</f>
        <v>2022-12-01</v>
      </c>
    </row>
    <row r="206" spans="1:5" x14ac:dyDescent="0.3">
      <c r="A206" t="s">
        <v>466</v>
      </c>
      <c r="B206" t="str">
        <f>_xlfn.TEXTBEFORE(_xlfn.TEXTAFTER(A206, "|", 1), "|", 1)</f>
        <v>A/Bald_eagle/AK/22-040391-003-original/2022</v>
      </c>
      <c r="C206" t="str">
        <f>LOWER(_xlfn.TEXTBEFORE(_xlfn.TEXTAFTER(B206, "/", 1), "/", 1))</f>
        <v>bald_eagle</v>
      </c>
      <c r="D206" t="str">
        <f>_xlfn.TEXTBEFORE(_xlfn.TEXTAFTER(A206, "|", 3), "|", 1)</f>
        <v>USA-AK</v>
      </c>
      <c r="E206" t="str">
        <f>_xlfn.TEXTBEFORE(_xlfn.TEXTAFTER(A206, "|", 4), "|", 1)</f>
        <v>2022-12-04</v>
      </c>
    </row>
    <row r="207" spans="1:5" x14ac:dyDescent="0.3">
      <c r="A207" t="s">
        <v>494</v>
      </c>
      <c r="B207" t="str">
        <f>_xlfn.TEXTBEFORE(_xlfn.TEXTAFTER(A207, "|", 1), "|", 1)</f>
        <v>A/Great_horned_owl/WY/22-039756-001-original-3/2022</v>
      </c>
      <c r="C207" t="str">
        <f>LOWER(_xlfn.TEXTBEFORE(_xlfn.TEXTAFTER(B207, "/", 1), "/", 1))</f>
        <v>great_horned_owl</v>
      </c>
      <c r="D207" t="str">
        <f>_xlfn.TEXTBEFORE(_xlfn.TEXTAFTER(A207, "|", 3), "|", 1)</f>
        <v>USA-WY</v>
      </c>
      <c r="E207" t="str">
        <f>_xlfn.TEXTBEFORE(_xlfn.TEXTAFTER(A207, "|", 4), "|", 1)</f>
        <v>2022-12-05</v>
      </c>
    </row>
    <row r="208" spans="1:5" x14ac:dyDescent="0.3">
      <c r="A208" t="s">
        <v>500</v>
      </c>
      <c r="B208" t="str">
        <f>_xlfn.TEXTBEFORE(_xlfn.TEXTAFTER(A208, "|", 1), "|", 1)</f>
        <v>A/Mallard/OR/22-041048-001-original/2022</v>
      </c>
      <c r="C208" t="str">
        <f>LOWER(_xlfn.TEXTBEFORE(_xlfn.TEXTAFTER(B208, "/", 1), "/", 1))</f>
        <v>mallard</v>
      </c>
      <c r="D208" t="str">
        <f>_xlfn.TEXTBEFORE(_xlfn.TEXTAFTER(A208, "|", 3), "|", 1)</f>
        <v>USA-OR</v>
      </c>
      <c r="E208" t="str">
        <f>_xlfn.TEXTBEFORE(_xlfn.TEXTAFTER(A208, "|", 4), "|", 1)</f>
        <v>2022-12-11</v>
      </c>
    </row>
    <row r="209" spans="1:5" x14ac:dyDescent="0.3">
      <c r="A209" t="s">
        <v>536</v>
      </c>
      <c r="B209" t="str">
        <f>_xlfn.TEXTBEFORE(_xlfn.TEXTAFTER(A209, "|", 1), "|", 1)</f>
        <v>A/Western_Gull/OR/22-041958-001-original/2022</v>
      </c>
      <c r="C209" t="str">
        <f>LOWER(_xlfn.TEXTBEFORE(_xlfn.TEXTAFTER(B209, "/", 1), "/", 1))</f>
        <v>western_gull</v>
      </c>
      <c r="D209" t="str">
        <f>_xlfn.TEXTBEFORE(_xlfn.TEXTAFTER(A209, "|", 3), "|", 1)</f>
        <v>USA-OR</v>
      </c>
      <c r="E209" t="str">
        <f>_xlfn.TEXTBEFORE(_xlfn.TEXTAFTER(A209, "|", 4), "|", 1)</f>
        <v>2022-12-11</v>
      </c>
    </row>
    <row r="210" spans="1:5" x14ac:dyDescent="0.3">
      <c r="A210" t="s">
        <v>514</v>
      </c>
      <c r="B210" t="str">
        <f>_xlfn.TEXTBEFORE(_xlfn.TEXTAFTER(A210, "|", 1), "|", 1)</f>
        <v>A/Raven/CA/23-000227-001-original/2022</v>
      </c>
      <c r="C210" t="str">
        <f>LOWER(_xlfn.TEXTBEFORE(_xlfn.TEXTAFTER(B210, "/", 1), "/", 1))</f>
        <v>raven</v>
      </c>
      <c r="D210" t="str">
        <f>_xlfn.TEXTBEFORE(_xlfn.TEXTAFTER(A210, "|", 3), "|", 1)</f>
        <v>USA-CA</v>
      </c>
      <c r="E210" t="str">
        <f>_xlfn.TEXTBEFORE(_xlfn.TEXTAFTER(A210, "|", 4), "|", 1)</f>
        <v>2022-12-15</v>
      </c>
    </row>
    <row r="211" spans="1:5" x14ac:dyDescent="0.3">
      <c r="A211" t="s">
        <v>493</v>
      </c>
      <c r="B211" t="str">
        <f>_xlfn.TEXTBEFORE(_xlfn.TEXTAFTER(A211, "|", 1), "|", 1)</f>
        <v>A/Great_horned_owl/CA/23-001052-001-original/2022</v>
      </c>
      <c r="C211" t="str">
        <f>LOWER(_xlfn.TEXTBEFORE(_xlfn.TEXTAFTER(B211, "/", 1), "/", 1))</f>
        <v>great_horned_owl</v>
      </c>
      <c r="D211" t="str">
        <f>_xlfn.TEXTBEFORE(_xlfn.TEXTAFTER(A211, "|", 3), "|", 1)</f>
        <v>USA-CA</v>
      </c>
      <c r="E211" t="str">
        <f>_xlfn.TEXTBEFORE(_xlfn.TEXTAFTER(A211, "|", 4), "|", 1)</f>
        <v>2022-12-17</v>
      </c>
    </row>
    <row r="212" spans="1:5" x14ac:dyDescent="0.3">
      <c r="A212" t="s">
        <v>499</v>
      </c>
      <c r="B212" t="str">
        <f>_xlfn.TEXTBEFORE(_xlfn.TEXTAFTER(A212, "|", 1), "|", 1)</f>
        <v>A/Herring_Gull/CA/23-001053-005-original/2022</v>
      </c>
      <c r="C212" t="str">
        <f>LOWER(_xlfn.TEXTBEFORE(_xlfn.TEXTAFTER(B212, "/", 1), "/", 1))</f>
        <v>herring_gull</v>
      </c>
      <c r="D212" t="str">
        <f>_xlfn.TEXTBEFORE(_xlfn.TEXTAFTER(A212, "|", 3), "|", 1)</f>
        <v>USA-CA</v>
      </c>
      <c r="E212" t="str">
        <f>_xlfn.TEXTBEFORE(_xlfn.TEXTAFTER(A212, "|", 4), "|", 1)</f>
        <v>2022-12-17</v>
      </c>
    </row>
    <row r="213" spans="1:5" x14ac:dyDescent="0.3">
      <c r="A213" t="s">
        <v>127</v>
      </c>
      <c r="B213" t="str">
        <f>_xlfn.TEXTBEFORE(_xlfn.TEXTAFTER(A213, "|", 1), "|", 1)</f>
        <v>A/Great_Horned_Owl/BC/AIVPHL-853/2022</v>
      </c>
      <c r="C213" t="str">
        <f>LOWER(_xlfn.TEXTBEFORE(_xlfn.TEXTAFTER(B213, "/", 1), "/", 1))</f>
        <v>great_horned_owl</v>
      </c>
      <c r="D213" t="str">
        <f>_xlfn.TEXTBEFORE(_xlfn.TEXTAFTER(A213, "|", 3), "|", 1)</f>
        <v>Canada-BC</v>
      </c>
      <c r="E213" t="str">
        <f>_xlfn.TEXTBEFORE(_xlfn.TEXTAFTER(A213, "|", 4), "|", 1)</f>
        <v>2022-12-19</v>
      </c>
    </row>
    <row r="214" spans="1:5" x14ac:dyDescent="0.3">
      <c r="A214" t="s">
        <v>515</v>
      </c>
      <c r="B214" t="str">
        <f>_xlfn.TEXTBEFORE(_xlfn.TEXTAFTER(A214, "|", 1), "|", 1)</f>
        <v>A/Raven/CA/23-000949-001-original/2022</v>
      </c>
      <c r="C214" t="str">
        <f>LOWER(_xlfn.TEXTBEFORE(_xlfn.TEXTAFTER(B214, "/", 1), "/", 1))</f>
        <v>raven</v>
      </c>
      <c r="D214" t="str">
        <f>_xlfn.TEXTBEFORE(_xlfn.TEXTAFTER(A214, "|", 3), "|", 1)</f>
        <v>USA-CA</v>
      </c>
      <c r="E214" t="str">
        <f>_xlfn.TEXTBEFORE(_xlfn.TEXTAFTER(A214, "|", 4), "|", 1)</f>
        <v>2022-12-19</v>
      </c>
    </row>
    <row r="215" spans="1:5" x14ac:dyDescent="0.3">
      <c r="A215" t="s">
        <v>526</v>
      </c>
      <c r="B215" t="str">
        <f>_xlfn.TEXTBEFORE(_xlfn.TEXTAFTER(A215, "|", 1), "|", 1)</f>
        <v>A/Turkey_Vulture/CA/23-000948-003-original/2022</v>
      </c>
      <c r="C215" t="str">
        <f>LOWER(_xlfn.TEXTBEFORE(_xlfn.TEXTAFTER(B215, "/", 1), "/", 1))</f>
        <v>turkey_vulture</v>
      </c>
      <c r="D215" t="str">
        <f>_xlfn.TEXTBEFORE(_xlfn.TEXTAFTER(A215, "|", 3), "|", 1)</f>
        <v>USA-CA</v>
      </c>
      <c r="E215" t="str">
        <f>_xlfn.TEXTBEFORE(_xlfn.TEXTAFTER(A215, "|", 4), "|", 1)</f>
        <v>2022-12-19</v>
      </c>
    </row>
    <row r="216" spans="1:5" x14ac:dyDescent="0.3">
      <c r="A216" t="s">
        <v>516</v>
      </c>
      <c r="B216" t="str">
        <f>_xlfn.TEXTBEFORE(_xlfn.TEXTAFTER(A216, "|", 1), "|", 1)</f>
        <v>A/Raven/CA/23-001056-002-original/2022</v>
      </c>
      <c r="C216" t="str">
        <f>LOWER(_xlfn.TEXTBEFORE(_xlfn.TEXTAFTER(B216, "/", 1), "/", 1))</f>
        <v>raven</v>
      </c>
      <c r="D216" t="str">
        <f>_xlfn.TEXTBEFORE(_xlfn.TEXTAFTER(A216, "|", 3), "|", 1)</f>
        <v>USA-CA</v>
      </c>
      <c r="E216" t="str">
        <f>_xlfn.TEXTBEFORE(_xlfn.TEXTAFTER(A216, "|", 4), "|", 1)</f>
        <v>2022-12-21</v>
      </c>
    </row>
    <row r="217" spans="1:5" x14ac:dyDescent="0.3">
      <c r="A217" t="s">
        <v>527</v>
      </c>
      <c r="B217" t="str">
        <f>_xlfn.TEXTBEFORE(_xlfn.TEXTAFTER(A217, "|", 1), "|", 1)</f>
        <v>A/Turkey_Vulture/CA/23-001057-001-original/2022</v>
      </c>
      <c r="C217" t="str">
        <f>LOWER(_xlfn.TEXTBEFORE(_xlfn.TEXTAFTER(B217, "/", 1), "/", 1))</f>
        <v>turkey_vulture</v>
      </c>
      <c r="D217" t="str">
        <f>_xlfn.TEXTBEFORE(_xlfn.TEXTAFTER(A217, "|", 3), "|", 1)</f>
        <v>USA-CA</v>
      </c>
      <c r="E217" t="str">
        <f>_xlfn.TEXTBEFORE(_xlfn.TEXTAFTER(A217, "|", 4), "|", 1)</f>
        <v>2022-12-22</v>
      </c>
    </row>
    <row r="218" spans="1:5" x14ac:dyDescent="0.3">
      <c r="A218" t="s">
        <v>528</v>
      </c>
      <c r="B218" t="str">
        <f>_xlfn.TEXTBEFORE(_xlfn.TEXTAFTER(A218, "|", 1), "|", 1)</f>
        <v>A/Turkey_Vulture/CA/23-001057-002-original/2022</v>
      </c>
      <c r="C218" t="str">
        <f>LOWER(_xlfn.TEXTBEFORE(_xlfn.TEXTAFTER(B218, "/", 1), "/", 1))</f>
        <v>turkey_vulture</v>
      </c>
      <c r="D218" t="str">
        <f>_xlfn.TEXTBEFORE(_xlfn.TEXTAFTER(A218, "|", 3), "|", 1)</f>
        <v>USA-CA</v>
      </c>
      <c r="E218" t="str">
        <f>_xlfn.TEXTBEFORE(_xlfn.TEXTAFTER(A218, "|", 4), "|", 1)</f>
        <v>2022-12-22</v>
      </c>
    </row>
    <row r="219" spans="1:5" x14ac:dyDescent="0.3">
      <c r="A219" t="s">
        <v>472</v>
      </c>
      <c r="B219" t="str">
        <f>_xlfn.TEXTBEFORE(_xlfn.TEXTAFTER(A219, "|", 1), "|", 1)</f>
        <v>A/Bald_eagle/IA/23-000269-001-original/2022</v>
      </c>
      <c r="C219" t="str">
        <f>LOWER(_xlfn.TEXTBEFORE(_xlfn.TEXTAFTER(B219, "/", 1), "/", 1))</f>
        <v>bald_eagle</v>
      </c>
      <c r="D219" t="str">
        <f>_xlfn.TEXTBEFORE(_xlfn.TEXTAFTER(A219, "|", 3), "|", 1)</f>
        <v>USA-IA</v>
      </c>
      <c r="E219" t="str">
        <f>_xlfn.TEXTBEFORE(_xlfn.TEXTAFTER(A219, "|", 4), "|", 1)</f>
        <v>2022-12-29</v>
      </c>
    </row>
    <row r="220" spans="1:5" x14ac:dyDescent="0.3">
      <c r="A220" t="s">
        <v>521</v>
      </c>
      <c r="B220" t="str">
        <f>_xlfn.TEXTBEFORE(_xlfn.TEXTAFTER(A220, "|", 1), "|", 1)</f>
        <v>A/Red-tailed_hawk/WY/23-000979-001-original/2023</v>
      </c>
      <c r="C220" t="str">
        <f>LOWER(_xlfn.TEXTBEFORE(_xlfn.TEXTAFTER(B220, "/", 1), "/", 1))</f>
        <v>red-tailed_hawk</v>
      </c>
      <c r="D220" t="str">
        <f>_xlfn.TEXTBEFORE(_xlfn.TEXTAFTER(A220, "|", 3), "|", 1)</f>
        <v>USA-WY</v>
      </c>
      <c r="E220" t="str">
        <f>_xlfn.TEXTBEFORE(_xlfn.TEXTAFTER(A220, "|", 4), "|", 1)</f>
        <v>2023-01-03</v>
      </c>
    </row>
    <row r="221" spans="1:5" x14ac:dyDescent="0.3">
      <c r="A221" t="s">
        <v>497</v>
      </c>
      <c r="B221" t="str">
        <f>_xlfn.TEXTBEFORE(_xlfn.TEXTAFTER(A221, "|", 1), "|", 1)</f>
        <v>A/Gull/OR/23-000764-001-original/2023</v>
      </c>
      <c r="C221" t="str">
        <f>LOWER(_xlfn.TEXTBEFORE(_xlfn.TEXTAFTER(B221, "/", 1), "/", 1))</f>
        <v>gull</v>
      </c>
      <c r="D221" t="str">
        <f>_xlfn.TEXTBEFORE(_xlfn.TEXTAFTER(A221, "|", 3), "|", 1)</f>
        <v>USA-OR</v>
      </c>
      <c r="E221" t="str">
        <f>_xlfn.TEXTBEFORE(_xlfn.TEXTAFTER(A221, "|", 4), "|", 1)</f>
        <v>2023-01-04</v>
      </c>
    </row>
    <row r="222" spans="1:5" x14ac:dyDescent="0.3">
      <c r="A222" t="s">
        <v>498</v>
      </c>
      <c r="B222" t="str">
        <f>_xlfn.TEXTBEFORE(_xlfn.TEXTAFTER(A222, "|", 1), "|", 1)</f>
        <v>A/Gull/OR/23-000775-001-original/2023</v>
      </c>
      <c r="C222" t="str">
        <f>LOWER(_xlfn.TEXTBEFORE(_xlfn.TEXTAFTER(B222, "/", 1), "/", 1))</f>
        <v>gull</v>
      </c>
      <c r="D222" t="str">
        <f>_xlfn.TEXTBEFORE(_xlfn.TEXTAFTER(A222, "|", 3), "|", 1)</f>
        <v>USA-OR</v>
      </c>
      <c r="E222" t="str">
        <f>_xlfn.TEXTBEFORE(_xlfn.TEXTAFTER(A222, "|", 4), "|", 1)</f>
        <v>2023-01-04</v>
      </c>
    </row>
    <row r="223" spans="1:5" x14ac:dyDescent="0.3">
      <c r="A223" t="s">
        <v>533</v>
      </c>
      <c r="B223" t="str">
        <f>_xlfn.TEXTBEFORE(_xlfn.TEXTAFTER(A223, "|", 1), "|", 1)</f>
        <v>A/Turkey_Vulture/NV/23-002599-004-original/2023</v>
      </c>
      <c r="C223" t="str">
        <f>LOWER(_xlfn.TEXTBEFORE(_xlfn.TEXTAFTER(B223, "/", 1), "/", 1))</f>
        <v>turkey_vulture</v>
      </c>
      <c r="D223" t="str">
        <f>_xlfn.TEXTBEFORE(_xlfn.TEXTAFTER(A223, "|", 3), "|", 1)</f>
        <v>USA-NV</v>
      </c>
      <c r="E223" t="str">
        <f>_xlfn.TEXTBEFORE(_xlfn.TEXTAFTER(A223, "|", 4), "|", 1)</f>
        <v>2023-01-10</v>
      </c>
    </row>
    <row r="224" spans="1:5" x14ac:dyDescent="0.3">
      <c r="A224" t="s">
        <v>534</v>
      </c>
      <c r="B224" t="str">
        <f>_xlfn.TEXTBEFORE(_xlfn.TEXTAFTER(A224, "|", 1), "|", 1)</f>
        <v>A/Western_Gull/NV/23-002599-002-original/2023</v>
      </c>
      <c r="C224" t="str">
        <f>LOWER(_xlfn.TEXTBEFORE(_xlfn.TEXTAFTER(B224, "/", 1), "/", 1))</f>
        <v>western_gull</v>
      </c>
      <c r="D224" t="str">
        <f>_xlfn.TEXTBEFORE(_xlfn.TEXTAFTER(A224, "|", 3), "|", 1)</f>
        <v>USA-NV</v>
      </c>
      <c r="E224" t="str">
        <f>_xlfn.TEXTBEFORE(_xlfn.TEXTAFTER(A224, "|", 4), "|", 1)</f>
        <v>2023-01-10</v>
      </c>
    </row>
    <row r="225" spans="1:5" x14ac:dyDescent="0.3">
      <c r="A225" t="s">
        <v>535</v>
      </c>
      <c r="B225" t="str">
        <f>_xlfn.TEXTBEFORE(_xlfn.TEXTAFTER(A225, "|", 1), "|", 1)</f>
        <v>A/Western_Gull/NV/23-002599-003-original/2023</v>
      </c>
      <c r="C225" t="str">
        <f>LOWER(_xlfn.TEXTBEFORE(_xlfn.TEXTAFTER(B225, "/", 1), "/", 1))</f>
        <v>western_gull</v>
      </c>
      <c r="D225" t="str">
        <f>_xlfn.TEXTBEFORE(_xlfn.TEXTAFTER(A225, "|", 3), "|", 1)</f>
        <v>USA-NV</v>
      </c>
      <c r="E225" t="str">
        <f>_xlfn.TEXTBEFORE(_xlfn.TEXTAFTER(A225, "|", 4), "|", 1)</f>
        <v>2023-01-10</v>
      </c>
    </row>
    <row r="226" spans="1:5" x14ac:dyDescent="0.3">
      <c r="A226" t="s">
        <v>520</v>
      </c>
      <c r="B226" t="str">
        <f>_xlfn.TEXTBEFORE(_xlfn.TEXTAFTER(A226, "|", 1), "|", 1)</f>
        <v>A/Red-tailed_hawk/OR/23-002977-001-original/2023</v>
      </c>
      <c r="C226" t="str">
        <f>LOWER(_xlfn.TEXTBEFORE(_xlfn.TEXTAFTER(B226, "/", 1), "/", 1))</f>
        <v>red-tailed_hawk</v>
      </c>
      <c r="D226" t="str">
        <f>_xlfn.TEXTBEFORE(_xlfn.TEXTAFTER(A226, "|", 3), "|", 1)</f>
        <v>USA-OR</v>
      </c>
      <c r="E226" t="str">
        <f>_xlfn.TEXTBEFORE(_xlfn.TEXTAFTER(A226, "|", 4), "|", 1)</f>
        <v>2023-01-10</v>
      </c>
    </row>
    <row r="227" spans="1:5" x14ac:dyDescent="0.3">
      <c r="A227" t="s">
        <v>522</v>
      </c>
      <c r="B227" t="str">
        <f>_xlfn.TEXTBEFORE(_xlfn.TEXTAFTER(A227, "|", 1), "|", 1)</f>
        <v>A/Red-tailed_hawk/WY/23-002118-001-original/2023</v>
      </c>
      <c r="C227" t="str">
        <f>LOWER(_xlfn.TEXTBEFORE(_xlfn.TEXTAFTER(B227, "/", 1), "/", 1))</f>
        <v>red-tailed_hawk</v>
      </c>
      <c r="D227" t="str">
        <f>_xlfn.TEXTBEFORE(_xlfn.TEXTAFTER(A227, "|", 3), "|", 1)</f>
        <v>USA-WY</v>
      </c>
      <c r="E227" t="str">
        <f>_xlfn.TEXTBEFORE(_xlfn.TEXTAFTER(A227, "|", 4), "|", 1)</f>
        <v>2023-01-11</v>
      </c>
    </row>
    <row r="228" spans="1:5" x14ac:dyDescent="0.3">
      <c r="A228" t="s">
        <v>40</v>
      </c>
      <c r="B228" t="str">
        <f>_xlfn.TEXTBEFORE(_xlfn.TEXTAFTER(A228, "|", 1), "|", 1)</f>
        <v>A/Common_Goldeneye/SK/FAV-0275-22/2023</v>
      </c>
      <c r="C228" t="str">
        <f>LOWER(_xlfn.TEXTBEFORE(_xlfn.TEXTAFTER(B228, "/", 1), "/", 1))</f>
        <v>common_goldeneye</v>
      </c>
      <c r="D228" t="str">
        <f>_xlfn.TEXTBEFORE(_xlfn.TEXTAFTER(A228, "|", 3), "|", 1)</f>
        <v>Canada-SK</v>
      </c>
      <c r="E228" t="str">
        <f>_xlfn.TEXTBEFORE(_xlfn.TEXTAFTER(A228, "|", 4), "|", 1)</f>
        <v>2023-01-14</v>
      </c>
    </row>
    <row r="229" spans="1:5" x14ac:dyDescent="0.3">
      <c r="A229" t="s">
        <v>29</v>
      </c>
      <c r="B229" t="str">
        <f>_xlfn.TEXTBEFORE(_xlfn.TEXTAFTER(A229, "|", 1), "|", 1)</f>
        <v>A/trumpeter_swan/BC/AIVPHL-364/2023</v>
      </c>
      <c r="C229" t="str">
        <f>LOWER(_xlfn.TEXTBEFORE(_xlfn.TEXTAFTER(B229, "/", 1), "/", 1))</f>
        <v>trumpeter_swan</v>
      </c>
      <c r="D229" t="str">
        <f>_xlfn.TEXTBEFORE(_xlfn.TEXTAFTER(A229, "|", 3), "|", 1)</f>
        <v>Canada-BC</v>
      </c>
      <c r="E229" t="str">
        <f>_xlfn.TEXTBEFORE(_xlfn.TEXTAFTER(A229, "|", 4), "|", 1)</f>
        <v>2023-01-16</v>
      </c>
    </row>
    <row r="230" spans="1:5" x14ac:dyDescent="0.3">
      <c r="A230" t="s">
        <v>30</v>
      </c>
      <c r="B230" t="str">
        <f>_xlfn.TEXTBEFORE(_xlfn.TEXTAFTER(A230, "|", 1), "|", 1)</f>
        <v>A/canada_goose/BC/AIVPHL-371/2023</v>
      </c>
      <c r="C230" t="str">
        <f>LOWER(_xlfn.TEXTBEFORE(_xlfn.TEXTAFTER(B230, "/", 1), "/", 1))</f>
        <v>canada_goose</v>
      </c>
      <c r="D230" t="str">
        <f>_xlfn.TEXTBEFORE(_xlfn.TEXTAFTER(A230, "|", 3), "|", 1)</f>
        <v>Canada-BC</v>
      </c>
      <c r="E230" t="str">
        <f>_xlfn.TEXTBEFORE(_xlfn.TEXTAFTER(A230, "|", 4), "|", 1)</f>
        <v>2023-01-16</v>
      </c>
    </row>
    <row r="231" spans="1:5" x14ac:dyDescent="0.3">
      <c r="A231" t="s">
        <v>121</v>
      </c>
      <c r="B231" t="str">
        <f>_xlfn.TEXTBEFORE(_xlfn.TEXTAFTER(A231, "|", 1), "|", 1)</f>
        <v>A/Cooper_s_Hawk/BC/AIVPHL-893/2023</v>
      </c>
      <c r="C231" t="str">
        <f>LOWER(_xlfn.TEXTBEFORE(_xlfn.TEXTAFTER(B231, "/", 1), "/", 1))</f>
        <v>cooper_s_hawk</v>
      </c>
      <c r="D231" t="str">
        <f>_xlfn.TEXTBEFORE(_xlfn.TEXTAFTER(A231, "|", 3), "|", 1)</f>
        <v>Canada-BC</v>
      </c>
      <c r="E231" t="str">
        <f>_xlfn.TEXTBEFORE(_xlfn.TEXTAFTER(A231, "|", 4), "|", 1)</f>
        <v>2023-01-16</v>
      </c>
    </row>
    <row r="232" spans="1:5" x14ac:dyDescent="0.3">
      <c r="A232" t="s">
        <v>41</v>
      </c>
      <c r="B232" t="str">
        <f>_xlfn.TEXTBEFORE(_xlfn.TEXTAFTER(A232, "|", 1), "|", 1)</f>
        <v>A/Common_Goldeneye/SK/FAV-0275-24/2023</v>
      </c>
      <c r="C232" t="str">
        <f>LOWER(_xlfn.TEXTBEFORE(_xlfn.TEXTAFTER(B232, "/", 1), "/", 1))</f>
        <v>common_goldeneye</v>
      </c>
      <c r="D232" t="str">
        <f>_xlfn.TEXTBEFORE(_xlfn.TEXTAFTER(A232, "|", 3), "|", 1)</f>
        <v>Canada-SK</v>
      </c>
      <c r="E232" t="str">
        <f>_xlfn.TEXTBEFORE(_xlfn.TEXTAFTER(A232, "|", 4), "|", 1)</f>
        <v>2023-01-21</v>
      </c>
    </row>
    <row r="233" spans="1:5" x14ac:dyDescent="0.3">
      <c r="A233" t="s">
        <v>508</v>
      </c>
      <c r="B233" t="str">
        <f>_xlfn.TEXTBEFORE(_xlfn.TEXTAFTER(A233, "|", 1), "|", 1)</f>
        <v>A/Peregrine_falcon/CA/23-004360-001-original/2023</v>
      </c>
      <c r="C233" t="str">
        <f>LOWER(_xlfn.TEXTBEFORE(_xlfn.TEXTAFTER(B233, "/", 1), "/", 1))</f>
        <v>peregrine_falcon</v>
      </c>
      <c r="D233" t="str">
        <f>_xlfn.TEXTBEFORE(_xlfn.TEXTAFTER(A233, "|", 3), "|", 1)</f>
        <v>USA-CA</v>
      </c>
      <c r="E233" t="str">
        <f>_xlfn.TEXTBEFORE(_xlfn.TEXTAFTER(A233, "|", 4), "|", 1)</f>
        <v>2023-01-24</v>
      </c>
    </row>
    <row r="234" spans="1:5" x14ac:dyDescent="0.3">
      <c r="A234" t="s">
        <v>42</v>
      </c>
      <c r="B234" t="str">
        <f>_xlfn.TEXTBEFORE(_xlfn.TEXTAFTER(A234, "|", 1), "|", 1)</f>
        <v>A/Common_Goldeneye/SK/FAV-0275-27/2023</v>
      </c>
      <c r="C234" t="str">
        <f>LOWER(_xlfn.TEXTBEFORE(_xlfn.TEXTAFTER(B234, "/", 1), "/", 1))</f>
        <v>common_goldeneye</v>
      </c>
      <c r="D234" t="str">
        <f>_xlfn.TEXTBEFORE(_xlfn.TEXTAFTER(A234, "|", 3), "|", 1)</f>
        <v>Canada-SK</v>
      </c>
      <c r="E234" t="str">
        <f>_xlfn.TEXTBEFORE(_xlfn.TEXTAFTER(A234, "|", 4), "|", 1)</f>
        <v>2023-01-25</v>
      </c>
    </row>
    <row r="235" spans="1:5" x14ac:dyDescent="0.3">
      <c r="A235" t="s">
        <v>473</v>
      </c>
      <c r="B235" t="str">
        <f>_xlfn.TEXTBEFORE(_xlfn.TEXTAFTER(A235, "|", 1), "|", 1)</f>
        <v>A/Black_turnstone/CA/23-004359-001-original/2023</v>
      </c>
      <c r="C235" t="str">
        <f>LOWER(_xlfn.TEXTBEFORE(_xlfn.TEXTAFTER(B235, "/", 1), "/", 1))</f>
        <v>black_turnstone</v>
      </c>
      <c r="D235" t="str">
        <f>_xlfn.TEXTBEFORE(_xlfn.TEXTAFTER(A235, "|", 3), "|", 1)</f>
        <v>USA-CA</v>
      </c>
      <c r="E235" t="str">
        <f>_xlfn.TEXTBEFORE(_xlfn.TEXTAFTER(A235, "|", 4), "|", 1)</f>
        <v>2023-01-25</v>
      </c>
    </row>
    <row r="236" spans="1:5" x14ac:dyDescent="0.3">
      <c r="A236" t="s">
        <v>529</v>
      </c>
      <c r="B236" t="str">
        <f>_xlfn.TEXTBEFORE(_xlfn.TEXTAFTER(A236, "|", 1), "|", 1)</f>
        <v>A/Turkey_Vulture/CA/23-004365-001-original/2023</v>
      </c>
      <c r="C236" t="str">
        <f>LOWER(_xlfn.TEXTBEFORE(_xlfn.TEXTAFTER(B236, "/", 1), "/", 1))</f>
        <v>turkey_vulture</v>
      </c>
      <c r="D236" t="str">
        <f>_xlfn.TEXTBEFORE(_xlfn.TEXTAFTER(A236, "|", 3), "|", 1)</f>
        <v>USA-CA</v>
      </c>
      <c r="E236" t="str">
        <f>_xlfn.TEXTBEFORE(_xlfn.TEXTAFTER(A236, "|", 4), "|", 1)</f>
        <v>2023-01-25</v>
      </c>
    </row>
    <row r="237" spans="1:5" x14ac:dyDescent="0.3">
      <c r="A237" t="s">
        <v>530</v>
      </c>
      <c r="B237" t="str">
        <f>_xlfn.TEXTBEFORE(_xlfn.TEXTAFTER(A237, "|", 1), "|", 1)</f>
        <v>A/Turkey_Vulture/CA/23-004367-001-original/2023</v>
      </c>
      <c r="C237" t="str">
        <f>LOWER(_xlfn.TEXTBEFORE(_xlfn.TEXTAFTER(B237, "/", 1), "/", 1))</f>
        <v>turkey_vulture</v>
      </c>
      <c r="D237" t="str">
        <f>_xlfn.TEXTBEFORE(_xlfn.TEXTAFTER(A237, "|", 3), "|", 1)</f>
        <v>USA-CA</v>
      </c>
      <c r="E237" t="str">
        <f>_xlfn.TEXTBEFORE(_xlfn.TEXTAFTER(A237, "|", 4), "|", 1)</f>
        <v>2023-01-25</v>
      </c>
    </row>
    <row r="238" spans="1:5" x14ac:dyDescent="0.3">
      <c r="A238" t="s">
        <v>518</v>
      </c>
      <c r="B238" t="str">
        <f>_xlfn.TEXTBEFORE(_xlfn.TEXTAFTER(A238, "|", 1), "|", 1)</f>
        <v>A/Red-tailed_hawk/CA/23-004366-002-original/2023</v>
      </c>
      <c r="C238" t="str">
        <f>LOWER(_xlfn.TEXTBEFORE(_xlfn.TEXTAFTER(B238, "/", 1), "/", 1))</f>
        <v>red-tailed_hawk</v>
      </c>
      <c r="D238" t="str">
        <f>_xlfn.TEXTBEFORE(_xlfn.TEXTAFTER(A238, "|", 3), "|", 1)</f>
        <v>USA-CA</v>
      </c>
      <c r="E238" t="str">
        <f>_xlfn.TEXTBEFORE(_xlfn.TEXTAFTER(A238, "|", 4), "|", 1)</f>
        <v>2023-01-26</v>
      </c>
    </row>
    <row r="239" spans="1:5" x14ac:dyDescent="0.3">
      <c r="A239" t="s">
        <v>517</v>
      </c>
      <c r="B239" t="str">
        <f>_xlfn.TEXTBEFORE(_xlfn.TEXTAFTER(A239, "|", 1), "|", 1)</f>
        <v>A/Raven/MT/23-003666-004-original/2023</v>
      </c>
      <c r="C239" t="str">
        <f>LOWER(_xlfn.TEXTBEFORE(_xlfn.TEXTAFTER(B239, "/", 1), "/", 1))</f>
        <v>raven</v>
      </c>
      <c r="D239" t="str">
        <f>_xlfn.TEXTBEFORE(_xlfn.TEXTAFTER(A239, "|", 3), "|", 1)</f>
        <v>USA-MT</v>
      </c>
      <c r="E239" t="str">
        <f>_xlfn.TEXTBEFORE(_xlfn.TEXTAFTER(A239, "|", 4), "|", 1)</f>
        <v>2023-01-30</v>
      </c>
    </row>
    <row r="240" spans="1:5" x14ac:dyDescent="0.3">
      <c r="A240" t="s">
        <v>495</v>
      </c>
      <c r="B240" t="str">
        <f>_xlfn.TEXTBEFORE(_xlfn.TEXTAFTER(A240, "|", 1), "|", 1)</f>
        <v>A/Gull/CA/23-004370-003-original/2023</v>
      </c>
      <c r="C240" t="str">
        <f>LOWER(_xlfn.TEXTBEFORE(_xlfn.TEXTAFTER(B240, "/", 1), "/", 1))</f>
        <v>gull</v>
      </c>
      <c r="D240" t="str">
        <f>_xlfn.TEXTBEFORE(_xlfn.TEXTAFTER(A240, "|", 3), "|", 1)</f>
        <v>USA-CA</v>
      </c>
      <c r="E240" t="str">
        <f>_xlfn.TEXTBEFORE(_xlfn.TEXTAFTER(A240, "|", 4), "|", 1)</f>
        <v>2023-01-31</v>
      </c>
    </row>
    <row r="241" spans="1:5" x14ac:dyDescent="0.3">
      <c r="A241" t="s">
        <v>496</v>
      </c>
      <c r="B241" t="str">
        <f>_xlfn.TEXTBEFORE(_xlfn.TEXTAFTER(A241, "|", 1), "|", 1)</f>
        <v>A/Gull/CA/23-004370-004-original/2023</v>
      </c>
      <c r="C241" t="str">
        <f>LOWER(_xlfn.TEXTBEFORE(_xlfn.TEXTAFTER(B241, "/", 1), "/", 1))</f>
        <v>gull</v>
      </c>
      <c r="D241" t="str">
        <f>_xlfn.TEXTBEFORE(_xlfn.TEXTAFTER(A241, "|", 3), "|", 1)</f>
        <v>USA-CA</v>
      </c>
      <c r="E241" t="str">
        <f>_xlfn.TEXTBEFORE(_xlfn.TEXTAFTER(A241, "|", 4), "|", 1)</f>
        <v>2023-01-31</v>
      </c>
    </row>
    <row r="242" spans="1:5" x14ac:dyDescent="0.3">
      <c r="A242" t="s">
        <v>531</v>
      </c>
      <c r="B242" t="str">
        <f>_xlfn.TEXTBEFORE(_xlfn.TEXTAFTER(A242, "|", 1), "|", 1)</f>
        <v>A/Turkey_Vulture/CA/23-004368-001-original/2023</v>
      </c>
      <c r="C242" t="str">
        <f>LOWER(_xlfn.TEXTBEFORE(_xlfn.TEXTAFTER(B242, "/", 1), "/", 1))</f>
        <v>turkey_vulture</v>
      </c>
      <c r="D242" t="str">
        <f>_xlfn.TEXTBEFORE(_xlfn.TEXTAFTER(A242, "|", 3), "|", 1)</f>
        <v>USA-CA</v>
      </c>
      <c r="E242" t="str">
        <f>_xlfn.TEXTBEFORE(_xlfn.TEXTAFTER(A242, "|", 4), "|", 1)</f>
        <v>2023-01-31</v>
      </c>
    </row>
    <row r="243" spans="1:5" x14ac:dyDescent="0.3">
      <c r="A243" t="s">
        <v>19</v>
      </c>
      <c r="B243" t="str">
        <f>_xlfn.TEXTBEFORE(_xlfn.TEXTAFTER(A243, "|", 1), "|", 1)</f>
        <v>A/red-tailed_hawk/Wyoming/23-005384-001/2023</v>
      </c>
      <c r="C243" t="str">
        <f>LOWER(_xlfn.TEXTBEFORE(_xlfn.TEXTAFTER(B243, "/", 1), "/", 1))</f>
        <v>red-tailed_hawk</v>
      </c>
      <c r="D243" t="str">
        <f>_xlfn.TEXTBEFORE(_xlfn.TEXTAFTER(A243, "|", 3), "|", 1)</f>
        <v>USA-WY</v>
      </c>
      <c r="E243" t="str">
        <f>_xlfn.TEXTBEFORE(_xlfn.TEXTAFTER(A243, "|", 4), "|", 1)</f>
        <v>2023-02-09</v>
      </c>
    </row>
    <row r="244" spans="1:5" x14ac:dyDescent="0.3">
      <c r="A244" t="s">
        <v>23</v>
      </c>
      <c r="B244" t="str">
        <f>_xlfn.TEXTBEFORE(_xlfn.TEXTAFTER(A244, "|", 1), "|", 1)</f>
        <v>A/red-tailed_hawk/California/23-006644-002/2023</v>
      </c>
      <c r="C244" t="str">
        <f>LOWER(_xlfn.TEXTBEFORE(_xlfn.TEXTAFTER(B244, "/", 1), "/", 1))</f>
        <v>red-tailed_hawk</v>
      </c>
      <c r="D244" t="str">
        <f>_xlfn.TEXTBEFORE(_xlfn.TEXTAFTER(A244, "|", 3), "|", 1)</f>
        <v>USA-CA</v>
      </c>
      <c r="E244" t="str">
        <f>_xlfn.TEXTBEFORE(_xlfn.TEXTAFTER(A244, "|", 4), "|", 1)</f>
        <v>2023-02-14</v>
      </c>
    </row>
    <row r="245" spans="1:5" x14ac:dyDescent="0.3">
      <c r="A245" t="s">
        <v>96</v>
      </c>
      <c r="B245" t="str">
        <f>_xlfn.TEXTBEFORE(_xlfn.TEXTAFTER(A245, "|", 1), "|", 1)</f>
        <v>A/Striped_Skunk/BC/FAV-0091-3/2023</v>
      </c>
      <c r="C245" t="str">
        <f>LOWER(_xlfn.TEXTBEFORE(_xlfn.TEXTAFTER(B245, "/", 1), "/", 1))</f>
        <v>striped_skunk</v>
      </c>
      <c r="D245" t="str">
        <f>_xlfn.TEXTBEFORE(_xlfn.TEXTAFTER(A245, "|", 3), "|", 1)</f>
        <v>Canada-BC</v>
      </c>
      <c r="E245" t="str">
        <f>_xlfn.TEXTBEFORE(_xlfn.TEXTAFTER(A245, "|", 4), "|", 1)</f>
        <v>2023-02-26</v>
      </c>
    </row>
    <row r="246" spans="1:5" x14ac:dyDescent="0.3">
      <c r="A246" t="s">
        <v>171</v>
      </c>
      <c r="B246" t="str">
        <f>_xlfn.TEXTBEFORE(_xlfn.TEXTAFTER(A246, "|", 1), "|", 1)</f>
        <v>A/green_winged_teal/United_States/23-039644-002/2023</v>
      </c>
      <c r="C246" t="str">
        <f>LOWER(_xlfn.TEXTBEFORE(_xlfn.TEXTAFTER(B246, "/", 1), "/", 1))</f>
        <v>green_winged_teal</v>
      </c>
      <c r="D246" t="str">
        <f>_xlfn.TEXTBEFORE(_xlfn.TEXTAFTER(A246, "|", 3), "|", 1)</f>
        <v>USA</v>
      </c>
      <c r="E246" t="str">
        <f>_xlfn.TEXTBEFORE(_xlfn.TEXTAFTER(A246, "|", 4), "|", 1)</f>
        <v>2023-03-01</v>
      </c>
    </row>
    <row r="247" spans="1:5" x14ac:dyDescent="0.3">
      <c r="A247" t="s">
        <v>172</v>
      </c>
      <c r="B247" t="str">
        <f>_xlfn.TEXTBEFORE(_xlfn.TEXTAFTER(A247, "|", 1), "|", 1)</f>
        <v>A/bald_eagle/United_States/23-037438-001/2023</v>
      </c>
      <c r="C247" t="str">
        <f>LOWER(_xlfn.TEXTBEFORE(_xlfn.TEXTAFTER(B247, "/", 1), "/", 1))</f>
        <v>bald_eagle</v>
      </c>
      <c r="D247" t="str">
        <f>_xlfn.TEXTBEFORE(_xlfn.TEXTAFTER(A247, "|", 3), "|", 1)</f>
        <v>USA</v>
      </c>
      <c r="E247" t="str">
        <f>_xlfn.TEXTBEFORE(_xlfn.TEXTAFTER(A247, "|", 4), "|", 1)</f>
        <v>2023-03-01</v>
      </c>
    </row>
    <row r="248" spans="1:5" x14ac:dyDescent="0.3">
      <c r="A248" t="s">
        <v>173</v>
      </c>
      <c r="B248" t="str">
        <f>_xlfn.TEXTBEFORE(_xlfn.TEXTAFTER(A248, "|", 1), "|", 1)</f>
        <v>A/mallard_duck/United_States/23-040978-008/2023</v>
      </c>
      <c r="C248" t="str">
        <f>LOWER(_xlfn.TEXTBEFORE(_xlfn.TEXTAFTER(B248, "/", 1), "/", 1))</f>
        <v>mallard_duck</v>
      </c>
      <c r="D248" t="str">
        <f>_xlfn.TEXTBEFORE(_xlfn.TEXTAFTER(A248, "|", 3), "|", 1)</f>
        <v>USA</v>
      </c>
      <c r="E248" t="str">
        <f>_xlfn.TEXTBEFORE(_xlfn.TEXTAFTER(A248, "|", 4), "|", 1)</f>
        <v>2023-03-01</v>
      </c>
    </row>
    <row r="249" spans="1:5" x14ac:dyDescent="0.3">
      <c r="A249" t="s">
        <v>246</v>
      </c>
      <c r="B249" t="str">
        <f>_xlfn.TEXTBEFORE(_xlfn.TEXTAFTER(A249, "|", 1), "|", 1)</f>
        <v>A/red_tailed_hawk/United_States/24-000753-001/2023</v>
      </c>
      <c r="C249" t="str">
        <f>LOWER(_xlfn.TEXTBEFORE(_xlfn.TEXTAFTER(B249, "/", 1), "/", 1))</f>
        <v>red_tailed_hawk</v>
      </c>
      <c r="D249" t="str">
        <f>_xlfn.TEXTBEFORE(_xlfn.TEXTAFTER(A249, "|", 3), "|", 1)</f>
        <v>USA</v>
      </c>
      <c r="E249" t="str">
        <f>_xlfn.TEXTBEFORE(_xlfn.TEXTAFTER(A249, "|", 4), "|", 1)</f>
        <v>2023-03-01</v>
      </c>
    </row>
    <row r="250" spans="1:5" x14ac:dyDescent="0.3">
      <c r="A250" t="s">
        <v>247</v>
      </c>
      <c r="B250" t="str">
        <f>_xlfn.TEXTBEFORE(_xlfn.TEXTAFTER(A250, "|", 1), "|", 1)</f>
        <v>A/western_gull/United_States/24-000752-002/2023</v>
      </c>
      <c r="C250" t="str">
        <f>LOWER(_xlfn.TEXTBEFORE(_xlfn.TEXTAFTER(B250, "/", 1), "/", 1))</f>
        <v>western_gull</v>
      </c>
      <c r="D250" t="str">
        <f>_xlfn.TEXTBEFORE(_xlfn.TEXTAFTER(A250, "|", 3), "|", 1)</f>
        <v>USA</v>
      </c>
      <c r="E250" t="str">
        <f>_xlfn.TEXTBEFORE(_xlfn.TEXTAFTER(A250, "|", 4), "|", 1)</f>
        <v>2023-03-01</v>
      </c>
    </row>
    <row r="251" spans="1:5" x14ac:dyDescent="0.3">
      <c r="A251" t="s">
        <v>248</v>
      </c>
      <c r="B251" t="str">
        <f>_xlfn.TEXTBEFORE(_xlfn.TEXTAFTER(A251, "|", 1), "|", 1)</f>
        <v>A/turkey_vulture/United_States/24-000749-001/2023</v>
      </c>
      <c r="C251" t="str">
        <f>LOWER(_xlfn.TEXTBEFORE(_xlfn.TEXTAFTER(B251, "/", 1), "/", 1))</f>
        <v>turkey_vulture</v>
      </c>
      <c r="D251" t="str">
        <f>_xlfn.TEXTBEFORE(_xlfn.TEXTAFTER(A251, "|", 3), "|", 1)</f>
        <v>USA</v>
      </c>
      <c r="E251" t="str">
        <f>_xlfn.TEXTBEFORE(_xlfn.TEXTAFTER(A251, "|", 4), "|", 1)</f>
        <v>2023-03-01</v>
      </c>
    </row>
    <row r="252" spans="1:5" x14ac:dyDescent="0.3">
      <c r="A252" t="s">
        <v>249</v>
      </c>
      <c r="B252" t="str">
        <f>_xlfn.TEXTBEFORE(_xlfn.TEXTAFTER(A252, "|", 1), "|", 1)</f>
        <v>A/falcon/United_States/23-039191-001/2023</v>
      </c>
      <c r="C252" t="str">
        <f>LOWER(_xlfn.TEXTBEFORE(_xlfn.TEXTAFTER(B252, "/", 1), "/", 1))</f>
        <v>falcon</v>
      </c>
      <c r="D252" t="str">
        <f>_xlfn.TEXTBEFORE(_xlfn.TEXTAFTER(A252, "|", 3), "|", 1)</f>
        <v>USA</v>
      </c>
      <c r="E252" t="str">
        <f>_xlfn.TEXTBEFORE(_xlfn.TEXTAFTER(A252, "|", 4), "|", 1)</f>
        <v>2023-03-01</v>
      </c>
    </row>
    <row r="253" spans="1:5" x14ac:dyDescent="0.3">
      <c r="A253" t="s">
        <v>250</v>
      </c>
      <c r="B253" t="str">
        <f>_xlfn.TEXTBEFORE(_xlfn.TEXTAFTER(A253, "|", 1), "|", 1)</f>
        <v>A/cackling_goose/United_States/23-033091-001/2023</v>
      </c>
      <c r="C253" t="str">
        <f>LOWER(_xlfn.TEXTBEFORE(_xlfn.TEXTAFTER(B253, "/", 1), "/", 1))</f>
        <v>cackling_goose</v>
      </c>
      <c r="D253" t="str">
        <f>_xlfn.TEXTBEFORE(_xlfn.TEXTAFTER(A253, "|", 3), "|", 1)</f>
        <v>USA</v>
      </c>
      <c r="E253" t="str">
        <f>_xlfn.TEXTBEFORE(_xlfn.TEXTAFTER(A253, "|", 4), "|", 1)</f>
        <v>2023-03-01</v>
      </c>
    </row>
    <row r="254" spans="1:5" x14ac:dyDescent="0.3">
      <c r="A254" t="s">
        <v>251</v>
      </c>
      <c r="B254" t="str">
        <f>_xlfn.TEXTBEFORE(_xlfn.TEXTAFTER(A254, "|", 1), "|", 1)</f>
        <v>A/american_wigeon/United_States/23-032793-004/2023</v>
      </c>
      <c r="C254" t="str">
        <f>LOWER(_xlfn.TEXTBEFORE(_xlfn.TEXTAFTER(B254, "/", 1), "/", 1))</f>
        <v>american_wigeon</v>
      </c>
      <c r="D254" t="str">
        <f>_xlfn.TEXTBEFORE(_xlfn.TEXTAFTER(A254, "|", 3), "|", 1)</f>
        <v>USA</v>
      </c>
      <c r="E254" t="str">
        <f>_xlfn.TEXTBEFORE(_xlfn.TEXTAFTER(A254, "|", 4), "|", 1)</f>
        <v>2023-03-01</v>
      </c>
    </row>
    <row r="255" spans="1:5" x14ac:dyDescent="0.3">
      <c r="A255" t="s">
        <v>252</v>
      </c>
      <c r="B255" t="str">
        <f>_xlfn.TEXTBEFORE(_xlfn.TEXTAFTER(A255, "|", 1), "|", 1)</f>
        <v>A/american_wigeon/United_States/23-035569-016/2023</v>
      </c>
      <c r="C255" t="str">
        <f>LOWER(_xlfn.TEXTBEFORE(_xlfn.TEXTAFTER(B255, "/", 1), "/", 1))</f>
        <v>american_wigeon</v>
      </c>
      <c r="D255" t="str">
        <f>_xlfn.TEXTBEFORE(_xlfn.TEXTAFTER(A255, "|", 3), "|", 1)</f>
        <v>USA</v>
      </c>
      <c r="E255" t="str">
        <f>_xlfn.TEXTBEFORE(_xlfn.TEXTAFTER(A255, "|", 4), "|", 1)</f>
        <v>2023-03-01</v>
      </c>
    </row>
    <row r="256" spans="1:5" x14ac:dyDescent="0.3">
      <c r="A256" t="s">
        <v>253</v>
      </c>
      <c r="B256" t="str">
        <f>_xlfn.TEXTBEFORE(_xlfn.TEXTAFTER(A256, "|", 1), "|", 1)</f>
        <v>A/mallard_duck/United_States/23-035569-010/2023</v>
      </c>
      <c r="C256" t="str">
        <f>LOWER(_xlfn.TEXTBEFORE(_xlfn.TEXTAFTER(B256, "/", 1), "/", 1))</f>
        <v>mallard_duck</v>
      </c>
      <c r="D256" t="str">
        <f>_xlfn.TEXTBEFORE(_xlfn.TEXTAFTER(A256, "|", 3), "|", 1)</f>
        <v>USA</v>
      </c>
      <c r="E256" t="str">
        <f>_xlfn.TEXTBEFORE(_xlfn.TEXTAFTER(A256, "|", 4), "|", 1)</f>
        <v>2023-03-01</v>
      </c>
    </row>
    <row r="257" spans="1:5" x14ac:dyDescent="0.3">
      <c r="A257" t="s">
        <v>254</v>
      </c>
      <c r="B257" t="str">
        <f>_xlfn.TEXTBEFORE(_xlfn.TEXTAFTER(A257, "|", 1), "|", 1)</f>
        <v>A/great_horned_owl/United_States/23-034944-001/2023</v>
      </c>
      <c r="C257" t="str">
        <f>LOWER(_xlfn.TEXTBEFORE(_xlfn.TEXTAFTER(B257, "/", 1), "/", 1))</f>
        <v>great_horned_owl</v>
      </c>
      <c r="D257" t="str">
        <f>_xlfn.TEXTBEFORE(_xlfn.TEXTAFTER(A257, "|", 3), "|", 1)</f>
        <v>USA</v>
      </c>
      <c r="E257" t="str">
        <f>_xlfn.TEXTBEFORE(_xlfn.TEXTAFTER(A257, "|", 4), "|", 1)</f>
        <v>2023-03-01</v>
      </c>
    </row>
    <row r="258" spans="1:5" x14ac:dyDescent="0.3">
      <c r="A258" t="s">
        <v>256</v>
      </c>
      <c r="B258" t="str">
        <f>_xlfn.TEXTBEFORE(_xlfn.TEXTAFTER(A258, "|", 1), "|", 1)</f>
        <v>A/canada_goose/United_States/23-034940-001/2023</v>
      </c>
      <c r="C258" t="str">
        <f>LOWER(_xlfn.TEXTBEFORE(_xlfn.TEXTAFTER(B258, "/", 1), "/", 1))</f>
        <v>canada_goose</v>
      </c>
      <c r="D258" t="str">
        <f>_xlfn.TEXTBEFORE(_xlfn.TEXTAFTER(A258, "|", 3), "|", 1)</f>
        <v>USA</v>
      </c>
      <c r="E258" t="str">
        <f>_xlfn.TEXTBEFORE(_xlfn.TEXTAFTER(A258, "|", 4), "|", 1)</f>
        <v>2023-03-01</v>
      </c>
    </row>
    <row r="259" spans="1:5" x14ac:dyDescent="0.3">
      <c r="A259" t="s">
        <v>257</v>
      </c>
      <c r="B259" t="str">
        <f>_xlfn.TEXTBEFORE(_xlfn.TEXTAFTER(A259, "|", 1), "|", 1)</f>
        <v>A/american_wigeon/United_States/23-034446-001/2023</v>
      </c>
      <c r="C259" t="str">
        <f>LOWER(_xlfn.TEXTBEFORE(_xlfn.TEXTAFTER(B259, "/", 1), "/", 1))</f>
        <v>american_wigeon</v>
      </c>
      <c r="D259" t="str">
        <f>_xlfn.TEXTBEFORE(_xlfn.TEXTAFTER(A259, "|", 3), "|", 1)</f>
        <v>USA</v>
      </c>
      <c r="E259" t="str">
        <f>_xlfn.TEXTBEFORE(_xlfn.TEXTAFTER(A259, "|", 4), "|", 1)</f>
        <v>2023-03-01</v>
      </c>
    </row>
    <row r="260" spans="1:5" x14ac:dyDescent="0.3">
      <c r="A260" t="s">
        <v>258</v>
      </c>
      <c r="B260" t="str">
        <f>_xlfn.TEXTBEFORE(_xlfn.TEXTAFTER(A260, "|", 1), "|", 1)</f>
        <v>A/herring_gull/United_States/24-000746-001/2023</v>
      </c>
      <c r="C260" t="str">
        <f>LOWER(_xlfn.TEXTBEFORE(_xlfn.TEXTAFTER(B260, "/", 1), "/", 1))</f>
        <v>herring_gull</v>
      </c>
      <c r="D260" t="str">
        <f>_xlfn.TEXTBEFORE(_xlfn.TEXTAFTER(A260, "|", 3), "|", 1)</f>
        <v>USA</v>
      </c>
      <c r="E260" t="str">
        <f>_xlfn.TEXTBEFORE(_xlfn.TEXTAFTER(A260, "|", 4), "|", 1)</f>
        <v>2023-03-01</v>
      </c>
    </row>
    <row r="261" spans="1:5" x14ac:dyDescent="0.3">
      <c r="A261" t="s">
        <v>259</v>
      </c>
      <c r="B261" t="str">
        <f>_xlfn.TEXTBEFORE(_xlfn.TEXTAFTER(A261, "|", 1), "|", 1)</f>
        <v>A/magpie/United_States/24-000215-004/2023</v>
      </c>
      <c r="C261" t="str">
        <f>LOWER(_xlfn.TEXTBEFORE(_xlfn.TEXTAFTER(B261, "/", 1), "/", 1))</f>
        <v>magpie</v>
      </c>
      <c r="D261" t="str">
        <f>_xlfn.TEXTBEFORE(_xlfn.TEXTAFTER(A261, "|", 3), "|", 1)</f>
        <v>USA</v>
      </c>
      <c r="E261" t="str">
        <f>_xlfn.TEXTBEFORE(_xlfn.TEXTAFTER(A261, "|", 4), "|", 1)</f>
        <v>2023-03-01</v>
      </c>
    </row>
    <row r="262" spans="1:5" x14ac:dyDescent="0.3">
      <c r="A262" t="s">
        <v>260</v>
      </c>
      <c r="B262" t="str">
        <f>_xlfn.TEXTBEFORE(_xlfn.TEXTAFTER(A262, "|", 1), "|", 1)</f>
        <v>A/magpie/United_States/24-000215-003/2023</v>
      </c>
      <c r="C262" t="str">
        <f>LOWER(_xlfn.TEXTBEFORE(_xlfn.TEXTAFTER(B262, "/", 1), "/", 1))</f>
        <v>magpie</v>
      </c>
      <c r="D262" t="str">
        <f>_xlfn.TEXTBEFORE(_xlfn.TEXTAFTER(A262, "|", 3), "|", 1)</f>
        <v>USA</v>
      </c>
      <c r="E262" t="str">
        <f>_xlfn.TEXTBEFORE(_xlfn.TEXTAFTER(A262, "|", 4), "|", 1)</f>
        <v>2023-03-01</v>
      </c>
    </row>
    <row r="263" spans="1:5" x14ac:dyDescent="0.3">
      <c r="A263" t="s">
        <v>261</v>
      </c>
      <c r="B263" t="str">
        <f>_xlfn.TEXTBEFORE(_xlfn.TEXTAFTER(A263, "|", 1), "|", 1)</f>
        <v>A/magpie/United_States/24-000215-002/2023</v>
      </c>
      <c r="C263" t="str">
        <f>LOWER(_xlfn.TEXTBEFORE(_xlfn.TEXTAFTER(B263, "/", 1), "/", 1))</f>
        <v>magpie</v>
      </c>
      <c r="D263" t="str">
        <f>_xlfn.TEXTBEFORE(_xlfn.TEXTAFTER(A263, "|", 3), "|", 1)</f>
        <v>USA</v>
      </c>
      <c r="E263" t="str">
        <f>_xlfn.TEXTBEFORE(_xlfn.TEXTAFTER(A263, "|", 4), "|", 1)</f>
        <v>2023-03-01</v>
      </c>
    </row>
    <row r="264" spans="1:5" x14ac:dyDescent="0.3">
      <c r="A264" t="s">
        <v>262</v>
      </c>
      <c r="B264" t="str">
        <f>_xlfn.TEXTBEFORE(_xlfn.TEXTAFTER(A264, "|", 1), "|", 1)</f>
        <v>A/magpie/United_States/24-000215-001/2023</v>
      </c>
      <c r="C264" t="str">
        <f>LOWER(_xlfn.TEXTBEFORE(_xlfn.TEXTAFTER(B264, "/", 1), "/", 1))</f>
        <v>magpie</v>
      </c>
      <c r="D264" t="str">
        <f>_xlfn.TEXTBEFORE(_xlfn.TEXTAFTER(A264, "|", 3), "|", 1)</f>
        <v>USA</v>
      </c>
      <c r="E264" t="str">
        <f>_xlfn.TEXTBEFORE(_xlfn.TEXTAFTER(A264, "|", 4), "|", 1)</f>
        <v>2023-03-01</v>
      </c>
    </row>
    <row r="265" spans="1:5" x14ac:dyDescent="0.3">
      <c r="A265" t="s">
        <v>263</v>
      </c>
      <c r="B265" t="str">
        <f>_xlfn.TEXTBEFORE(_xlfn.TEXTAFTER(A265, "|", 1), "|", 1)</f>
        <v>A/bald_eagle/United_States/24-000214-001/2023</v>
      </c>
      <c r="C265" t="str">
        <f>LOWER(_xlfn.TEXTBEFORE(_xlfn.TEXTAFTER(B265, "/", 1), "/", 1))</f>
        <v>bald_eagle</v>
      </c>
      <c r="D265" t="str">
        <f>_xlfn.TEXTBEFORE(_xlfn.TEXTAFTER(A265, "|", 3), "|", 1)</f>
        <v>USA</v>
      </c>
      <c r="E265" t="str">
        <f>_xlfn.TEXTBEFORE(_xlfn.TEXTAFTER(A265, "|", 4), "|", 1)</f>
        <v>2023-03-01</v>
      </c>
    </row>
    <row r="266" spans="1:5" x14ac:dyDescent="0.3">
      <c r="A266" t="s">
        <v>264</v>
      </c>
      <c r="B266" t="str">
        <f>_xlfn.TEXTBEFORE(_xlfn.TEXTAFTER(A266, "|", 1), "|", 1)</f>
        <v>A/bald_eagle/United_States/24-000213-001/2023</v>
      </c>
      <c r="C266" t="str">
        <f>LOWER(_xlfn.TEXTBEFORE(_xlfn.TEXTAFTER(B266, "/", 1), "/", 1))</f>
        <v>bald_eagle</v>
      </c>
      <c r="D266" t="str">
        <f>_xlfn.TEXTBEFORE(_xlfn.TEXTAFTER(A266, "|", 3), "|", 1)</f>
        <v>USA</v>
      </c>
      <c r="E266" t="str">
        <f>_xlfn.TEXTBEFORE(_xlfn.TEXTAFTER(A266, "|", 4), "|", 1)</f>
        <v>2023-03-01</v>
      </c>
    </row>
    <row r="267" spans="1:5" x14ac:dyDescent="0.3">
      <c r="A267" t="s">
        <v>265</v>
      </c>
      <c r="B267" t="str">
        <f>_xlfn.TEXTBEFORE(_xlfn.TEXTAFTER(A267, "|", 1), "|", 1)</f>
        <v>A/great_horned_owl/United_States/23-036194-001/2023</v>
      </c>
      <c r="C267" t="str">
        <f>LOWER(_xlfn.TEXTBEFORE(_xlfn.TEXTAFTER(B267, "/", 1), "/", 1))</f>
        <v>great_horned_owl</v>
      </c>
      <c r="D267" t="str">
        <f>_xlfn.TEXTBEFORE(_xlfn.TEXTAFTER(A267, "|", 3), "|", 1)</f>
        <v>USA</v>
      </c>
      <c r="E267" t="str">
        <f>_xlfn.TEXTBEFORE(_xlfn.TEXTAFTER(A267, "|", 4), "|", 1)</f>
        <v>2023-03-01</v>
      </c>
    </row>
    <row r="268" spans="1:5" x14ac:dyDescent="0.3">
      <c r="A268" t="s">
        <v>266</v>
      </c>
      <c r="B268" t="str">
        <f>_xlfn.TEXTBEFORE(_xlfn.TEXTAFTER(A268, "|", 1), "|", 1)</f>
        <v>A/lesser_scaup/United_States/23-035662-001/2023</v>
      </c>
      <c r="C268" t="str">
        <f>LOWER(_xlfn.TEXTBEFORE(_xlfn.TEXTAFTER(B268, "/", 1), "/", 1))</f>
        <v>lesser_scaup</v>
      </c>
      <c r="D268" t="str">
        <f>_xlfn.TEXTBEFORE(_xlfn.TEXTAFTER(A268, "|", 3), "|", 1)</f>
        <v>USA</v>
      </c>
      <c r="E268" t="str">
        <f>_xlfn.TEXTBEFORE(_xlfn.TEXTAFTER(A268, "|", 4), "|", 1)</f>
        <v>2023-03-01</v>
      </c>
    </row>
    <row r="269" spans="1:5" x14ac:dyDescent="0.3">
      <c r="A269" t="s">
        <v>268</v>
      </c>
      <c r="B269" t="str">
        <f>_xlfn.TEXTBEFORE(_xlfn.TEXTAFTER(A269, "|", 1), "|", 1)</f>
        <v>A/mallard_duck/United_States/24-011853-011/2023</v>
      </c>
      <c r="C269" t="str">
        <f>LOWER(_xlfn.TEXTBEFORE(_xlfn.TEXTAFTER(B269, "/", 1), "/", 1))</f>
        <v>mallard_duck</v>
      </c>
      <c r="D269" t="str">
        <f>_xlfn.TEXTBEFORE(_xlfn.TEXTAFTER(A269, "|", 3), "|", 1)</f>
        <v>USA</v>
      </c>
      <c r="E269" t="str">
        <f>_xlfn.TEXTBEFORE(_xlfn.TEXTAFTER(A269, "|", 4), "|", 1)</f>
        <v>2023-03-01</v>
      </c>
    </row>
    <row r="270" spans="1:5" x14ac:dyDescent="0.3">
      <c r="A270" t="s">
        <v>269</v>
      </c>
      <c r="B270" t="str">
        <f>_xlfn.TEXTBEFORE(_xlfn.TEXTAFTER(A270, "|", 1), "|", 1)</f>
        <v>A/northern_pintail/United_States/24-011853-009/2023</v>
      </c>
      <c r="C270" t="str">
        <f>LOWER(_xlfn.TEXTBEFORE(_xlfn.TEXTAFTER(B270, "/", 1), "/", 1))</f>
        <v>northern_pintail</v>
      </c>
      <c r="D270" t="str">
        <f>_xlfn.TEXTBEFORE(_xlfn.TEXTAFTER(A270, "|", 3), "|", 1)</f>
        <v>USA</v>
      </c>
      <c r="E270" t="str">
        <f>_xlfn.TEXTBEFORE(_xlfn.TEXTAFTER(A270, "|", 4), "|", 1)</f>
        <v>2023-03-01</v>
      </c>
    </row>
    <row r="271" spans="1:5" x14ac:dyDescent="0.3">
      <c r="A271" t="s">
        <v>270</v>
      </c>
      <c r="B271" t="str">
        <f>_xlfn.TEXTBEFORE(_xlfn.TEXTAFTER(A271, "|", 1), "|", 1)</f>
        <v>A/northern_pintail/United_States/24-011853-008/2023</v>
      </c>
      <c r="C271" t="str">
        <f>LOWER(_xlfn.TEXTBEFORE(_xlfn.TEXTAFTER(B271, "/", 1), "/", 1))</f>
        <v>northern_pintail</v>
      </c>
      <c r="D271" t="str">
        <f>_xlfn.TEXTBEFORE(_xlfn.TEXTAFTER(A271, "|", 3), "|", 1)</f>
        <v>USA</v>
      </c>
      <c r="E271" t="str">
        <f>_xlfn.TEXTBEFORE(_xlfn.TEXTAFTER(A271, "|", 4), "|", 1)</f>
        <v>2023-03-01</v>
      </c>
    </row>
    <row r="272" spans="1:5" x14ac:dyDescent="0.3">
      <c r="A272" t="s">
        <v>271</v>
      </c>
      <c r="B272" t="str">
        <f>_xlfn.TEXTBEFORE(_xlfn.TEXTAFTER(A272, "|", 1), "|", 1)</f>
        <v>A/northern_pintail/United_States/24-011853-006/2023</v>
      </c>
      <c r="C272" t="str">
        <f>LOWER(_xlfn.TEXTBEFORE(_xlfn.TEXTAFTER(B272, "/", 1), "/", 1))</f>
        <v>northern_pintail</v>
      </c>
      <c r="D272" t="str">
        <f>_xlfn.TEXTBEFORE(_xlfn.TEXTAFTER(A272, "|", 3), "|", 1)</f>
        <v>USA</v>
      </c>
      <c r="E272" t="str">
        <f>_xlfn.TEXTBEFORE(_xlfn.TEXTAFTER(A272, "|", 4), "|", 1)</f>
        <v>2023-03-01</v>
      </c>
    </row>
    <row r="273" spans="1:5" x14ac:dyDescent="0.3">
      <c r="A273" t="s">
        <v>272</v>
      </c>
      <c r="B273" t="str">
        <f>_xlfn.TEXTBEFORE(_xlfn.TEXTAFTER(A273, "|", 1), "|", 1)</f>
        <v>A/northern_pintail/United_States/24-011853-005/2023</v>
      </c>
      <c r="C273" t="str">
        <f>LOWER(_xlfn.TEXTBEFORE(_xlfn.TEXTAFTER(B273, "/", 1), "/", 1))</f>
        <v>northern_pintail</v>
      </c>
      <c r="D273" t="str">
        <f>_xlfn.TEXTBEFORE(_xlfn.TEXTAFTER(A273, "|", 3), "|", 1)</f>
        <v>USA</v>
      </c>
      <c r="E273" t="str">
        <f>_xlfn.TEXTBEFORE(_xlfn.TEXTAFTER(A273, "|", 4), "|", 1)</f>
        <v>2023-03-01</v>
      </c>
    </row>
    <row r="274" spans="1:5" x14ac:dyDescent="0.3">
      <c r="A274" t="s">
        <v>276</v>
      </c>
      <c r="B274" t="str">
        <f>_xlfn.TEXTBEFORE(_xlfn.TEXTAFTER(A274, "|", 1), "|", 1)</f>
        <v>A/green_winged_teal/United_States/23-034302-013/2023</v>
      </c>
      <c r="C274" t="str">
        <f>LOWER(_xlfn.TEXTBEFORE(_xlfn.TEXTAFTER(B274, "/", 1), "/", 1))</f>
        <v>green_winged_teal</v>
      </c>
      <c r="D274" t="str">
        <f>_xlfn.TEXTBEFORE(_xlfn.TEXTAFTER(A274, "|", 3), "|", 1)</f>
        <v>USA</v>
      </c>
      <c r="E274" t="str">
        <f>_xlfn.TEXTBEFORE(_xlfn.TEXTAFTER(A274, "|", 4), "|", 1)</f>
        <v>2023-03-01</v>
      </c>
    </row>
    <row r="275" spans="1:5" x14ac:dyDescent="0.3">
      <c r="A275" t="s">
        <v>279</v>
      </c>
      <c r="B275" t="str">
        <f>_xlfn.TEXTBEFORE(_xlfn.TEXTAFTER(A275, "|", 1), "|", 1)</f>
        <v>A/bald_eagle/United_States/24-002546-001/2023</v>
      </c>
      <c r="C275" t="str">
        <f>LOWER(_xlfn.TEXTBEFORE(_xlfn.TEXTAFTER(B275, "/", 1), "/", 1))</f>
        <v>bald_eagle</v>
      </c>
      <c r="D275" t="str">
        <f>_xlfn.TEXTBEFORE(_xlfn.TEXTAFTER(A275, "|", 3), "|", 1)</f>
        <v>USA</v>
      </c>
      <c r="E275" t="str">
        <f>_xlfn.TEXTBEFORE(_xlfn.TEXTAFTER(A275, "|", 4), "|", 1)</f>
        <v>2023-03-01</v>
      </c>
    </row>
    <row r="276" spans="1:5" x14ac:dyDescent="0.3">
      <c r="A276" t="s">
        <v>280</v>
      </c>
      <c r="B276" t="str">
        <f>_xlfn.TEXTBEFORE(_xlfn.TEXTAFTER(A276, "|", 1), "|", 1)</f>
        <v>A/western_gull/United_States/23-038401-001/2023</v>
      </c>
      <c r="C276" t="str">
        <f>LOWER(_xlfn.TEXTBEFORE(_xlfn.TEXTAFTER(B276, "/", 1), "/", 1))</f>
        <v>western_gull</v>
      </c>
      <c r="D276" t="str">
        <f>_xlfn.TEXTBEFORE(_xlfn.TEXTAFTER(A276, "|", 3), "|", 1)</f>
        <v>USA</v>
      </c>
      <c r="E276" t="str">
        <f>_xlfn.TEXTBEFORE(_xlfn.TEXTAFTER(A276, "|", 4), "|", 1)</f>
        <v>2023-03-01</v>
      </c>
    </row>
    <row r="277" spans="1:5" x14ac:dyDescent="0.3">
      <c r="A277" t="s">
        <v>281</v>
      </c>
      <c r="B277" t="str">
        <f>_xlfn.TEXTBEFORE(_xlfn.TEXTAFTER(A277, "|", 1), "|", 1)</f>
        <v>A/great_horned_owl/United_States/23-032825-001/2023</v>
      </c>
      <c r="C277" t="str">
        <f>LOWER(_xlfn.TEXTBEFORE(_xlfn.TEXTAFTER(B277, "/", 1), "/", 1))</f>
        <v>great_horned_owl</v>
      </c>
      <c r="D277" t="str">
        <f>_xlfn.TEXTBEFORE(_xlfn.TEXTAFTER(A277, "|", 3), "|", 1)</f>
        <v>USA</v>
      </c>
      <c r="E277" t="str">
        <f>_xlfn.TEXTBEFORE(_xlfn.TEXTAFTER(A277, "|", 4), "|", 1)</f>
        <v>2023-03-01</v>
      </c>
    </row>
    <row r="278" spans="1:5" x14ac:dyDescent="0.3">
      <c r="A278" t="s">
        <v>283</v>
      </c>
      <c r="B278" t="str">
        <f>_xlfn.TEXTBEFORE(_xlfn.TEXTAFTER(A278, "|", 1), "|", 1)</f>
        <v>A/mallard_duck/United_States/23-040979-046/2023</v>
      </c>
      <c r="C278" t="str">
        <f>LOWER(_xlfn.TEXTBEFORE(_xlfn.TEXTAFTER(B278, "/", 1), "/", 1))</f>
        <v>mallard_duck</v>
      </c>
      <c r="D278" t="str">
        <f>_xlfn.TEXTBEFORE(_xlfn.TEXTAFTER(A278, "|", 3), "|", 1)</f>
        <v>USA</v>
      </c>
      <c r="E278" t="str">
        <f>_xlfn.TEXTBEFORE(_xlfn.TEXTAFTER(A278, "|", 4), "|", 1)</f>
        <v>2023-03-01</v>
      </c>
    </row>
    <row r="279" spans="1:5" x14ac:dyDescent="0.3">
      <c r="A279" t="s">
        <v>284</v>
      </c>
      <c r="B279" t="str">
        <f>_xlfn.TEXTBEFORE(_xlfn.TEXTAFTER(A279, "|", 1), "|", 1)</f>
        <v>A/mallard_duck/United_States/23-040979-029/2023</v>
      </c>
      <c r="C279" t="str">
        <f>LOWER(_xlfn.TEXTBEFORE(_xlfn.TEXTAFTER(B279, "/", 1), "/", 1))</f>
        <v>mallard_duck</v>
      </c>
      <c r="D279" t="str">
        <f>_xlfn.TEXTBEFORE(_xlfn.TEXTAFTER(A279, "|", 3), "|", 1)</f>
        <v>USA</v>
      </c>
      <c r="E279" t="str">
        <f>_xlfn.TEXTBEFORE(_xlfn.TEXTAFTER(A279, "|", 4), "|", 1)</f>
        <v>2023-03-01</v>
      </c>
    </row>
    <row r="280" spans="1:5" x14ac:dyDescent="0.3">
      <c r="A280" t="s">
        <v>285</v>
      </c>
      <c r="B280" t="str">
        <f>_xlfn.TEXTBEFORE(_xlfn.TEXTAFTER(A280, "|", 1), "|", 1)</f>
        <v>A/glaucous_gull/United_States/23-040973-001/2023</v>
      </c>
      <c r="C280" t="str">
        <f>LOWER(_xlfn.TEXTBEFORE(_xlfn.TEXTAFTER(B280, "/", 1), "/", 1))</f>
        <v>glaucous_gull</v>
      </c>
      <c r="D280" t="str">
        <f>_xlfn.TEXTBEFORE(_xlfn.TEXTAFTER(A280, "|", 3), "|", 1)</f>
        <v>USA</v>
      </c>
      <c r="E280" t="str">
        <f>_xlfn.TEXTBEFORE(_xlfn.TEXTAFTER(A280, "|", 4), "|", 1)</f>
        <v>2023-03-01</v>
      </c>
    </row>
    <row r="281" spans="1:5" x14ac:dyDescent="0.3">
      <c r="A281" t="s">
        <v>286</v>
      </c>
      <c r="B281" t="str">
        <f>_xlfn.TEXTBEFORE(_xlfn.TEXTAFTER(A281, "|", 1), "|", 1)</f>
        <v>A/falcon/United_States/23-039647-001/2023</v>
      </c>
      <c r="C281" t="str">
        <f>LOWER(_xlfn.TEXTBEFORE(_xlfn.TEXTAFTER(B281, "/", 1), "/", 1))</f>
        <v>falcon</v>
      </c>
      <c r="D281" t="str">
        <f>_xlfn.TEXTBEFORE(_xlfn.TEXTAFTER(A281, "|", 3), "|", 1)</f>
        <v>USA</v>
      </c>
      <c r="E281" t="str">
        <f>_xlfn.TEXTBEFORE(_xlfn.TEXTAFTER(A281, "|", 4), "|", 1)</f>
        <v>2023-03-01</v>
      </c>
    </row>
    <row r="282" spans="1:5" x14ac:dyDescent="0.3">
      <c r="A282" t="s">
        <v>287</v>
      </c>
      <c r="B282" t="str">
        <f>_xlfn.TEXTBEFORE(_xlfn.TEXTAFTER(A282, "|", 1), "|", 1)</f>
        <v>A/magpie/United_States/23-039644-001/2023</v>
      </c>
      <c r="C282" t="str">
        <f>LOWER(_xlfn.TEXTBEFORE(_xlfn.TEXTAFTER(B282, "/", 1), "/", 1))</f>
        <v>magpie</v>
      </c>
      <c r="D282" t="str">
        <f>_xlfn.TEXTBEFORE(_xlfn.TEXTAFTER(A282, "|", 3), "|", 1)</f>
        <v>USA</v>
      </c>
      <c r="E282" t="str">
        <f>_xlfn.TEXTBEFORE(_xlfn.TEXTAFTER(A282, "|", 4), "|", 1)</f>
        <v>2023-03-01</v>
      </c>
    </row>
    <row r="283" spans="1:5" x14ac:dyDescent="0.3">
      <c r="A283" t="s">
        <v>288</v>
      </c>
      <c r="B283" t="str">
        <f>_xlfn.TEXTBEFORE(_xlfn.TEXTAFTER(A283, "|", 1), "|", 1)</f>
        <v>A/glaucous_gull/United_States/23-037979-001/2023</v>
      </c>
      <c r="C283" t="str">
        <f>LOWER(_xlfn.TEXTBEFORE(_xlfn.TEXTAFTER(B283, "/", 1), "/", 1))</f>
        <v>glaucous_gull</v>
      </c>
      <c r="D283" t="str">
        <f>_xlfn.TEXTBEFORE(_xlfn.TEXTAFTER(A283, "|", 3), "|", 1)</f>
        <v>USA</v>
      </c>
      <c r="E283" t="str">
        <f>_xlfn.TEXTBEFORE(_xlfn.TEXTAFTER(A283, "|", 4), "|", 1)</f>
        <v>2023-03-01</v>
      </c>
    </row>
    <row r="284" spans="1:5" x14ac:dyDescent="0.3">
      <c r="A284" t="s">
        <v>94</v>
      </c>
      <c r="B284" t="str">
        <f>_xlfn.TEXTBEFORE(_xlfn.TEXTAFTER(A284, "|", 1), "|", 1)</f>
        <v>A/Striped_Skunk/BC/AIVPHL-972/2023</v>
      </c>
      <c r="C284" t="str">
        <f>LOWER(_xlfn.TEXTBEFORE(_xlfn.TEXTAFTER(B284, "/", 1), "/", 1))</f>
        <v>striped_skunk</v>
      </c>
      <c r="D284" t="str">
        <f>_xlfn.TEXTBEFORE(_xlfn.TEXTAFTER(A284, "|", 3), "|", 1)</f>
        <v>Canada-BC</v>
      </c>
      <c r="E284" t="str">
        <f>_xlfn.TEXTBEFORE(_xlfn.TEXTAFTER(A284, "|", 4), "|", 1)</f>
        <v>2023-03-06</v>
      </c>
    </row>
    <row r="285" spans="1:5" x14ac:dyDescent="0.3">
      <c r="A285" t="s">
        <v>97</v>
      </c>
      <c r="B285" t="str">
        <f>_xlfn.TEXTBEFORE(_xlfn.TEXTAFTER(A285, "|", 1), "|", 1)</f>
        <v>A/Striped_Skunk/BC/AIVPHL-975/2023</v>
      </c>
      <c r="C285" t="str">
        <f>LOWER(_xlfn.TEXTBEFORE(_xlfn.TEXTAFTER(B285, "/", 1), "/", 1))</f>
        <v>striped_skunk</v>
      </c>
      <c r="D285" t="str">
        <f>_xlfn.TEXTBEFORE(_xlfn.TEXTAFTER(A285, "|", 3), "|", 1)</f>
        <v>Canada-BC</v>
      </c>
      <c r="E285" t="str">
        <f>_xlfn.TEXTBEFORE(_xlfn.TEXTAFTER(A285, "|", 4), "|", 1)</f>
        <v>2023-03-06</v>
      </c>
    </row>
    <row r="286" spans="1:5" x14ac:dyDescent="0.3">
      <c r="A286" t="s">
        <v>95</v>
      </c>
      <c r="B286" t="str">
        <f>_xlfn.TEXTBEFORE(_xlfn.TEXTAFTER(A286, "|", 1), "|", 1)</f>
        <v>A/Striped_Skunk/BC/AIVPHL-976/2023</v>
      </c>
      <c r="C286" t="str">
        <f>LOWER(_xlfn.TEXTBEFORE(_xlfn.TEXTAFTER(B286, "/", 1), "/", 1))</f>
        <v>striped_skunk</v>
      </c>
      <c r="D286" t="str">
        <f>_xlfn.TEXTBEFORE(_xlfn.TEXTAFTER(A286, "|", 3), "|", 1)</f>
        <v>Canada-BC</v>
      </c>
      <c r="E286" t="str">
        <f>_xlfn.TEXTBEFORE(_xlfn.TEXTAFTER(A286, "|", 4), "|", 1)</f>
        <v>2023-03-09</v>
      </c>
    </row>
    <row r="287" spans="1:5" x14ac:dyDescent="0.3">
      <c r="A287" t="s">
        <v>99</v>
      </c>
      <c r="B287" t="str">
        <f>_xlfn.TEXTBEFORE(_xlfn.TEXTAFTER(A287, "|", 1), "|", 1)</f>
        <v>A/Striped_Skunk/BC/AIVPHL-977/2023</v>
      </c>
      <c r="C287" t="str">
        <f>LOWER(_xlfn.TEXTBEFORE(_xlfn.TEXTAFTER(B287, "/", 1), "/", 1))</f>
        <v>striped_skunk</v>
      </c>
      <c r="D287" t="str">
        <f>_xlfn.TEXTBEFORE(_xlfn.TEXTAFTER(A287, "|", 3), "|", 1)</f>
        <v>Canada-BC</v>
      </c>
      <c r="E287" t="str">
        <f>_xlfn.TEXTBEFORE(_xlfn.TEXTAFTER(A287, "|", 4), "|", 1)</f>
        <v>2023-03-09</v>
      </c>
    </row>
    <row r="288" spans="1:5" x14ac:dyDescent="0.3">
      <c r="A288" t="s">
        <v>13</v>
      </c>
      <c r="B288" t="str">
        <f>_xlfn.TEXTBEFORE(_xlfn.TEXTAFTER(A288, "|", 1), "|", 1)</f>
        <v>A/glaucous_gull/California/23-010132-001/2023</v>
      </c>
      <c r="C288" t="str">
        <f>LOWER(_xlfn.TEXTBEFORE(_xlfn.TEXTAFTER(B288, "/", 1), "/", 1))</f>
        <v>glaucous_gull</v>
      </c>
      <c r="D288" t="str">
        <f>_xlfn.TEXTBEFORE(_xlfn.TEXTAFTER(A288, "|", 3), "|", 1)</f>
        <v>USA-CA</v>
      </c>
      <c r="E288" t="str">
        <f>_xlfn.TEXTBEFORE(_xlfn.TEXTAFTER(A288, "|", 4), "|", 1)</f>
        <v>2023-03-21</v>
      </c>
    </row>
    <row r="289" spans="1:5" x14ac:dyDescent="0.3">
      <c r="A289" t="s">
        <v>476</v>
      </c>
      <c r="B289" t="str">
        <f>_xlfn.TEXTBEFORE(_xlfn.TEXTAFTER(A289, "|", 1), "|", 1)</f>
        <v>A/California_condor/AZ/23-010558-001-original/2023</v>
      </c>
      <c r="C289" t="str">
        <f>LOWER(_xlfn.TEXTBEFORE(_xlfn.TEXTAFTER(B289, "/", 1), "/", 1))</f>
        <v>california_condor</v>
      </c>
      <c r="D289" t="str">
        <f>_xlfn.TEXTBEFORE(_xlfn.TEXTAFTER(A289, "|", 3), "|", 1)</f>
        <v>USA-AZ</v>
      </c>
      <c r="E289" t="str">
        <f>_xlfn.TEXTBEFORE(_xlfn.TEXTAFTER(A289, "|", 4), "|", 1)</f>
        <v>2023-03-30</v>
      </c>
    </row>
    <row r="290" spans="1:5" x14ac:dyDescent="0.3">
      <c r="A290" t="s">
        <v>477</v>
      </c>
      <c r="B290" t="str">
        <f>_xlfn.TEXTBEFORE(_xlfn.TEXTAFTER(A290, "|", 1), "|", 1)</f>
        <v>A/California_condor/AZ/23-010675-001-original/2023</v>
      </c>
      <c r="C290" t="str">
        <f>LOWER(_xlfn.TEXTBEFORE(_xlfn.TEXTAFTER(B290, "/", 1), "/", 1))</f>
        <v>california_condor</v>
      </c>
      <c r="D290" t="str">
        <f>_xlfn.TEXTBEFORE(_xlfn.TEXTAFTER(A290, "|", 3), "|", 1)</f>
        <v>USA-AZ</v>
      </c>
      <c r="E290" t="str">
        <f>_xlfn.TEXTBEFORE(_xlfn.TEXTAFTER(A290, "|", 4), "|", 1)</f>
        <v>2023-03-30</v>
      </c>
    </row>
    <row r="291" spans="1:5" x14ac:dyDescent="0.3">
      <c r="A291" t="s">
        <v>478</v>
      </c>
      <c r="B291" t="str">
        <f>_xlfn.TEXTBEFORE(_xlfn.TEXTAFTER(A291, "|", 1), "|", 1)</f>
        <v>A/California_condor/AZ/23-010675-002-original/2023</v>
      </c>
      <c r="C291" t="str">
        <f>LOWER(_xlfn.TEXTBEFORE(_xlfn.TEXTAFTER(B291, "/", 1), "/", 1))</f>
        <v>california_condor</v>
      </c>
      <c r="D291" t="str">
        <f>_xlfn.TEXTBEFORE(_xlfn.TEXTAFTER(A291, "|", 3), "|", 1)</f>
        <v>USA-AZ</v>
      </c>
      <c r="E291" t="str">
        <f>_xlfn.TEXTBEFORE(_xlfn.TEXTAFTER(A291, "|", 4), "|", 1)</f>
        <v>2023-03-30</v>
      </c>
    </row>
    <row r="292" spans="1:5" x14ac:dyDescent="0.3">
      <c r="A292" t="s">
        <v>16</v>
      </c>
      <c r="B292" t="str">
        <f>_xlfn.TEXTBEFORE(_xlfn.TEXTAFTER(A292, "|", 1), "|", 1)</f>
        <v>A/western_gull/California/23-011273-001/2023</v>
      </c>
      <c r="C292" t="str">
        <f>LOWER(_xlfn.TEXTBEFORE(_xlfn.TEXTAFTER(B292, "/", 1), "/", 1))</f>
        <v>western_gull</v>
      </c>
      <c r="D292" t="str">
        <f>_xlfn.TEXTBEFORE(_xlfn.TEXTAFTER(A292, "|", 3), "|", 1)</f>
        <v>USA-CA</v>
      </c>
      <c r="E292" t="str">
        <f>_xlfn.TEXTBEFORE(_xlfn.TEXTAFTER(A292, "|", 4), "|", 1)</f>
        <v>2023-03-30</v>
      </c>
    </row>
    <row r="293" spans="1:5" x14ac:dyDescent="0.3">
      <c r="A293" t="s">
        <v>21</v>
      </c>
      <c r="B293" t="str">
        <f>_xlfn.TEXTBEFORE(_xlfn.TEXTAFTER(A293, "|", 1), "|", 1)</f>
        <v>A/western_gull/California/23-011273-002/2023</v>
      </c>
      <c r="C293" t="str">
        <f>LOWER(_xlfn.TEXTBEFORE(_xlfn.TEXTAFTER(B293, "/", 1), "/", 1))</f>
        <v>western_gull</v>
      </c>
      <c r="D293" t="str">
        <f>_xlfn.TEXTBEFORE(_xlfn.TEXTAFTER(A293, "|", 3), "|", 1)</f>
        <v>USA-CA</v>
      </c>
      <c r="E293" t="str">
        <f>_xlfn.TEXTBEFORE(_xlfn.TEXTAFTER(A293, "|", 4), "|", 1)</f>
        <v>2023-03-30</v>
      </c>
    </row>
    <row r="294" spans="1:5" x14ac:dyDescent="0.3">
      <c r="A294" t="s">
        <v>118</v>
      </c>
      <c r="B294" t="str">
        <f>_xlfn.TEXTBEFORE(_xlfn.TEXTAFTER(A294, "|", 1), "|", 1)</f>
        <v>A/Great_Horned_Owl/BC/AIVPHL-1037/2023</v>
      </c>
      <c r="C294" t="str">
        <f>LOWER(_xlfn.TEXTBEFORE(_xlfn.TEXTAFTER(B294, "/", 1), "/", 1))</f>
        <v>great_horned_owl</v>
      </c>
      <c r="D294" t="str">
        <f>_xlfn.TEXTBEFORE(_xlfn.TEXTAFTER(A294, "|", 3), "|", 1)</f>
        <v>Canada-BC</v>
      </c>
      <c r="E294" t="str">
        <f>_xlfn.TEXTBEFORE(_xlfn.TEXTAFTER(A294, "|", 4), "|", 1)</f>
        <v>2023-03-31</v>
      </c>
    </row>
    <row r="295" spans="1:5" x14ac:dyDescent="0.3">
      <c r="A295" t="s">
        <v>479</v>
      </c>
      <c r="B295" t="str">
        <f>_xlfn.TEXTBEFORE(_xlfn.TEXTAFTER(A295, "|", 1), "|", 1)</f>
        <v>A/California_condor/AZ/23-010946-001-original/2023</v>
      </c>
      <c r="C295" t="str">
        <f>LOWER(_xlfn.TEXTBEFORE(_xlfn.TEXTAFTER(B295, "/", 1), "/", 1))</f>
        <v>california_condor</v>
      </c>
      <c r="D295" t="str">
        <f>_xlfn.TEXTBEFORE(_xlfn.TEXTAFTER(A295, "|", 3), "|", 1)</f>
        <v>USA-AZ</v>
      </c>
      <c r="E295" t="str">
        <f>_xlfn.TEXTBEFORE(_xlfn.TEXTAFTER(A295, "|", 4), "|", 1)</f>
        <v>2023-04-04</v>
      </c>
    </row>
    <row r="296" spans="1:5" x14ac:dyDescent="0.3">
      <c r="A296" t="s">
        <v>480</v>
      </c>
      <c r="B296" t="str">
        <f>_xlfn.TEXTBEFORE(_xlfn.TEXTAFTER(A296, "|", 1), "|", 1)</f>
        <v>A/California_condor/AZ/23-011580-001-original/2023</v>
      </c>
      <c r="C296" t="str">
        <f>LOWER(_xlfn.TEXTBEFORE(_xlfn.TEXTAFTER(B296, "/", 1), "/", 1))</f>
        <v>california_condor</v>
      </c>
      <c r="D296" t="str">
        <f>_xlfn.TEXTBEFORE(_xlfn.TEXTAFTER(A296, "|", 3), "|", 1)</f>
        <v>USA-AZ</v>
      </c>
      <c r="E296" t="str">
        <f>_xlfn.TEXTBEFORE(_xlfn.TEXTAFTER(A296, "|", 4), "|", 1)</f>
        <v>2023-04-06</v>
      </c>
    </row>
    <row r="297" spans="1:5" x14ac:dyDescent="0.3">
      <c r="A297" t="s">
        <v>481</v>
      </c>
      <c r="B297" t="str">
        <f>_xlfn.TEXTBEFORE(_xlfn.TEXTAFTER(A297, "|", 1), "|", 1)</f>
        <v>A/California_condor/AZ/23-011580-002-original/2023</v>
      </c>
      <c r="C297" t="str">
        <f>LOWER(_xlfn.TEXTBEFORE(_xlfn.TEXTAFTER(B297, "/", 1), "/", 1))</f>
        <v>california_condor</v>
      </c>
      <c r="D297" t="str">
        <f>_xlfn.TEXTBEFORE(_xlfn.TEXTAFTER(A297, "|", 3), "|", 1)</f>
        <v>USA-AZ</v>
      </c>
      <c r="E297" t="str">
        <f>_xlfn.TEXTBEFORE(_xlfn.TEXTAFTER(A297, "|", 4), "|", 1)</f>
        <v>2023-04-06</v>
      </c>
    </row>
    <row r="298" spans="1:5" x14ac:dyDescent="0.3">
      <c r="A298" t="s">
        <v>15</v>
      </c>
      <c r="B298" t="str">
        <f>_xlfn.TEXTBEFORE(_xlfn.TEXTAFTER(A298, "|", 1), "|", 1)</f>
        <v>A/cormorant/California/23-011452-003/2023</v>
      </c>
      <c r="C298" t="str">
        <f>LOWER(_xlfn.TEXTBEFORE(_xlfn.TEXTAFTER(B298, "/", 1), "/", 1))</f>
        <v>cormorant</v>
      </c>
      <c r="D298" t="str">
        <f>_xlfn.TEXTBEFORE(_xlfn.TEXTAFTER(A298, "|", 3), "|", 1)</f>
        <v>USA-CA</v>
      </c>
      <c r="E298" t="str">
        <f>_xlfn.TEXTBEFORE(_xlfn.TEXTAFTER(A298, "|", 4), "|", 1)</f>
        <v>2023-04-07</v>
      </c>
    </row>
    <row r="299" spans="1:5" x14ac:dyDescent="0.3">
      <c r="A299" t="s">
        <v>17</v>
      </c>
      <c r="B299" t="str">
        <f>_xlfn.TEXTBEFORE(_xlfn.TEXTAFTER(A299, "|", 1), "|", 1)</f>
        <v>A/turkey_vulture/California/23-011452-002/2023</v>
      </c>
      <c r="C299" t="str">
        <f>LOWER(_xlfn.TEXTBEFORE(_xlfn.TEXTAFTER(B299, "/", 1), "/", 1))</f>
        <v>turkey_vulture</v>
      </c>
      <c r="D299" t="str">
        <f>_xlfn.TEXTBEFORE(_xlfn.TEXTAFTER(A299, "|", 3), "|", 1)</f>
        <v>USA-CA</v>
      </c>
      <c r="E299" t="str">
        <f>_xlfn.TEXTBEFORE(_xlfn.TEXTAFTER(A299, "|", 4), "|", 1)</f>
        <v>2023-04-07</v>
      </c>
    </row>
    <row r="300" spans="1:5" x14ac:dyDescent="0.3">
      <c r="A300" t="s">
        <v>22</v>
      </c>
      <c r="B300" t="str">
        <f>_xlfn.TEXTBEFORE(_xlfn.TEXTAFTER(A300, "|", 1), "|", 1)</f>
        <v>A/gull/California/23-011452-001/2023</v>
      </c>
      <c r="C300" t="str">
        <f>LOWER(_xlfn.TEXTBEFORE(_xlfn.TEXTAFTER(B300, "/", 1), "/", 1))</f>
        <v>gull</v>
      </c>
      <c r="D300" t="str">
        <f>_xlfn.TEXTBEFORE(_xlfn.TEXTAFTER(A300, "|", 3), "|", 1)</f>
        <v>USA-CA</v>
      </c>
      <c r="E300" t="str">
        <f>_xlfn.TEXTBEFORE(_xlfn.TEXTAFTER(A300, "|", 4), "|", 1)</f>
        <v>2023-04-07</v>
      </c>
    </row>
    <row r="301" spans="1:5" x14ac:dyDescent="0.3">
      <c r="A301" t="s">
        <v>18</v>
      </c>
      <c r="B301" t="str">
        <f>_xlfn.TEXTBEFORE(_xlfn.TEXTAFTER(A301, "|", 1), "|", 1)</f>
        <v>A/sanderling/California/23-012068-001/2023</v>
      </c>
      <c r="C301" t="str">
        <f>LOWER(_xlfn.TEXTBEFORE(_xlfn.TEXTAFTER(B301, "/", 1), "/", 1))</f>
        <v>sanderling</v>
      </c>
      <c r="D301" t="str">
        <f>_xlfn.TEXTBEFORE(_xlfn.TEXTAFTER(A301, "|", 3), "|", 1)</f>
        <v>USA-CA</v>
      </c>
      <c r="E301" t="str">
        <f>_xlfn.TEXTBEFORE(_xlfn.TEXTAFTER(A301, "|", 4), "|", 1)</f>
        <v>2023-04-11</v>
      </c>
    </row>
    <row r="302" spans="1:5" x14ac:dyDescent="0.3">
      <c r="A302" t="s">
        <v>482</v>
      </c>
      <c r="B302" t="str">
        <f>_xlfn.TEXTBEFORE(_xlfn.TEXTAFTER(A302, "|", 1), "|", 1)</f>
        <v>A/California_condor/AZ/23-011582-001-original/2023</v>
      </c>
      <c r="C302" t="str">
        <f>LOWER(_xlfn.TEXTBEFORE(_xlfn.TEXTAFTER(B302, "/", 1), "/", 1))</f>
        <v>california_condor</v>
      </c>
      <c r="D302" t="str">
        <f>_xlfn.TEXTBEFORE(_xlfn.TEXTAFTER(A302, "|", 3), "|", 1)</f>
        <v>USA-AZ</v>
      </c>
      <c r="E302" t="str">
        <f>_xlfn.TEXTBEFORE(_xlfn.TEXTAFTER(A302, "|", 4), "|", 1)</f>
        <v>2023-04-12</v>
      </c>
    </row>
    <row r="303" spans="1:5" x14ac:dyDescent="0.3">
      <c r="A303" t="s">
        <v>483</v>
      </c>
      <c r="B303" t="str">
        <f>_xlfn.TEXTBEFORE(_xlfn.TEXTAFTER(A303, "|", 1), "|", 1)</f>
        <v>A/California_condor/AZ/23-011582-002-original/2023</v>
      </c>
      <c r="C303" t="str">
        <f>LOWER(_xlfn.TEXTBEFORE(_xlfn.TEXTAFTER(B303, "/", 1), "/", 1))</f>
        <v>california_condor</v>
      </c>
      <c r="D303" t="str">
        <f>_xlfn.TEXTBEFORE(_xlfn.TEXTAFTER(A303, "|", 3), "|", 1)</f>
        <v>USA-AZ</v>
      </c>
      <c r="E303" t="str">
        <f>_xlfn.TEXTBEFORE(_xlfn.TEXTAFTER(A303, "|", 4), "|", 1)</f>
        <v>2023-04-12</v>
      </c>
    </row>
    <row r="304" spans="1:5" x14ac:dyDescent="0.3">
      <c r="A304" t="s">
        <v>14</v>
      </c>
      <c r="B304" t="str">
        <f>_xlfn.TEXTBEFORE(_xlfn.TEXTAFTER(A304, "|", 1), "|", 1)</f>
        <v>A/sanderling/Oregon/23-011962-001/2023</v>
      </c>
      <c r="C304" t="str">
        <f>LOWER(_xlfn.TEXTBEFORE(_xlfn.TEXTAFTER(B304, "/", 1), "/", 1))</f>
        <v>sanderling</v>
      </c>
      <c r="D304" t="str">
        <f>_xlfn.TEXTBEFORE(_xlfn.TEXTAFTER(A304, "|", 3), "|", 1)</f>
        <v>USA-OR</v>
      </c>
      <c r="E304" t="str">
        <f>_xlfn.TEXTBEFORE(_xlfn.TEXTAFTER(A304, "|", 4), "|", 1)</f>
        <v>2023-04-13</v>
      </c>
    </row>
    <row r="305" spans="1:5" x14ac:dyDescent="0.3">
      <c r="A305" t="s">
        <v>484</v>
      </c>
      <c r="B305" t="str">
        <f>_xlfn.TEXTBEFORE(_xlfn.TEXTAFTER(A305, "|", 1), "|", 1)</f>
        <v>A/California_condor/AZ/23-012519-002-original/2023</v>
      </c>
      <c r="C305" t="str">
        <f>LOWER(_xlfn.TEXTBEFORE(_xlfn.TEXTAFTER(B305, "/", 1), "/", 1))</f>
        <v>california_condor</v>
      </c>
      <c r="D305" t="str">
        <f>_xlfn.TEXTBEFORE(_xlfn.TEXTAFTER(A305, "|", 3), "|", 1)</f>
        <v>USA-AZ</v>
      </c>
      <c r="E305" t="str">
        <f>_xlfn.TEXTBEFORE(_xlfn.TEXTAFTER(A305, "|", 4), "|", 1)</f>
        <v>2023-04-18</v>
      </c>
    </row>
    <row r="306" spans="1:5" x14ac:dyDescent="0.3">
      <c r="A306" t="s">
        <v>485</v>
      </c>
      <c r="B306" t="str">
        <f>_xlfn.TEXTBEFORE(_xlfn.TEXTAFTER(A306, "|", 1), "|", 1)</f>
        <v>A/California_condor/AZ/23-012521-001-original/2023</v>
      </c>
      <c r="C306" t="str">
        <f>LOWER(_xlfn.TEXTBEFORE(_xlfn.TEXTAFTER(B306, "/", 1), "/", 1))</f>
        <v>california_condor</v>
      </c>
      <c r="D306" t="str">
        <f>_xlfn.TEXTBEFORE(_xlfn.TEXTAFTER(A306, "|", 3), "|", 1)</f>
        <v>USA-AZ</v>
      </c>
      <c r="E306" t="str">
        <f>_xlfn.TEXTBEFORE(_xlfn.TEXTAFTER(A306, "|", 4), "|", 1)</f>
        <v>2023-04-18</v>
      </c>
    </row>
    <row r="307" spans="1:5" x14ac:dyDescent="0.3">
      <c r="A307" t="s">
        <v>486</v>
      </c>
      <c r="B307" t="str">
        <f>_xlfn.TEXTBEFORE(_xlfn.TEXTAFTER(A307, "|", 1), "|", 1)</f>
        <v>A/California_condor/AZ/23-012522-002-original/2023</v>
      </c>
      <c r="C307" t="str">
        <f>LOWER(_xlfn.TEXTBEFORE(_xlfn.TEXTAFTER(B307, "/", 1), "/", 1))</f>
        <v>california_condor</v>
      </c>
      <c r="D307" t="str">
        <f>_xlfn.TEXTBEFORE(_xlfn.TEXTAFTER(A307, "|", 3), "|", 1)</f>
        <v>USA-AZ</v>
      </c>
      <c r="E307" t="str">
        <f>_xlfn.TEXTBEFORE(_xlfn.TEXTAFTER(A307, "|", 4), "|", 1)</f>
        <v>2023-04-18</v>
      </c>
    </row>
    <row r="308" spans="1:5" x14ac:dyDescent="0.3">
      <c r="A308" t="s">
        <v>50</v>
      </c>
      <c r="B308" t="str">
        <f>_xlfn.TEXTBEFORE(_xlfn.TEXTAFTER(A308, "|", 1), "|", 1)</f>
        <v>A/Chicken/AB/FAV-0190-1/2023</v>
      </c>
      <c r="C308" t="str">
        <f>LOWER(_xlfn.TEXTBEFORE(_xlfn.TEXTAFTER(B308, "/", 1), "/", 1))</f>
        <v>chicken</v>
      </c>
      <c r="D308" t="str">
        <f>_xlfn.TEXTBEFORE(_xlfn.TEXTAFTER(A308, "|", 3), "|", 1)</f>
        <v>Canada-AB</v>
      </c>
      <c r="E308" t="str">
        <f>_xlfn.TEXTBEFORE(_xlfn.TEXTAFTER(A308, "|", 4), "|", 1)</f>
        <v>2023-04-20</v>
      </c>
    </row>
    <row r="309" spans="1:5" x14ac:dyDescent="0.3">
      <c r="A309" t="s">
        <v>51</v>
      </c>
      <c r="B309" t="str">
        <f>_xlfn.TEXTBEFORE(_xlfn.TEXTAFTER(A309, "|", 1), "|", 1)</f>
        <v>A/Chicken/AB/FAV-0190-2/2023</v>
      </c>
      <c r="C309" t="str">
        <f>LOWER(_xlfn.TEXTBEFORE(_xlfn.TEXTAFTER(B309, "/", 1), "/", 1))</f>
        <v>chicken</v>
      </c>
      <c r="D309" t="str">
        <f>_xlfn.TEXTBEFORE(_xlfn.TEXTAFTER(A309, "|", 3), "|", 1)</f>
        <v>Canada-AB</v>
      </c>
      <c r="E309" t="str">
        <f>_xlfn.TEXTBEFORE(_xlfn.TEXTAFTER(A309, "|", 4), "|", 1)</f>
        <v>2023-04-20</v>
      </c>
    </row>
    <row r="310" spans="1:5" x14ac:dyDescent="0.3">
      <c r="A310" t="s">
        <v>20</v>
      </c>
      <c r="B310" t="str">
        <f>_xlfn.TEXTBEFORE(_xlfn.TEXTAFTER(A310, "|", 1), "|", 1)</f>
        <v>A/turkey_vulture/California/23-016937-001/2023</v>
      </c>
      <c r="C310" t="str">
        <f>LOWER(_xlfn.TEXTBEFORE(_xlfn.TEXTAFTER(B310, "/", 1), "/", 1))</f>
        <v>turkey_vulture</v>
      </c>
      <c r="D310" t="str">
        <f>_xlfn.TEXTBEFORE(_xlfn.TEXTAFTER(A310, "|", 3), "|", 1)</f>
        <v>USA-CA</v>
      </c>
      <c r="E310" t="str">
        <f>_xlfn.TEXTBEFORE(_xlfn.TEXTAFTER(A310, "|", 4), "|", 1)</f>
        <v>2023-05-24</v>
      </c>
    </row>
    <row r="311" spans="1:5" x14ac:dyDescent="0.3">
      <c r="A311" t="s">
        <v>532</v>
      </c>
      <c r="B311" t="str">
        <f>_xlfn.TEXTBEFORE(_xlfn.TEXTAFTER(A311, "|", 1), "|", 1)</f>
        <v>A/Turkey_Vulture/CA/23-021850-001-original/2023</v>
      </c>
      <c r="C311" t="str">
        <f>LOWER(_xlfn.TEXTBEFORE(_xlfn.TEXTAFTER(B311, "/", 1), "/", 1))</f>
        <v>turkey_vulture</v>
      </c>
      <c r="D311" t="str">
        <f>_xlfn.TEXTBEFORE(_xlfn.TEXTAFTER(A311, "|", 3), "|", 1)</f>
        <v>USA-CA</v>
      </c>
      <c r="E311" t="str">
        <f>_xlfn.TEXTBEFORE(_xlfn.TEXTAFTER(A311, "|", 4), "|", 1)</f>
        <v>2023-07-14</v>
      </c>
    </row>
    <row r="312" spans="1:5" x14ac:dyDescent="0.3">
      <c r="A312" t="s">
        <v>62</v>
      </c>
      <c r="B312" t="str">
        <f>_xlfn.TEXTBEFORE(_xlfn.TEXTAFTER(A312, "|", 1), "|", 1)</f>
        <v>A/short-tailed_shearwaters/Minnesota/23-025002-003/2023</v>
      </c>
      <c r="C312" t="str">
        <f>LOWER(_xlfn.TEXTBEFORE(_xlfn.TEXTAFTER(B312, "/", 1), "/", 1))</f>
        <v>short-tailed_shearwaters</v>
      </c>
      <c r="D312" t="str">
        <f>_xlfn.TEXTBEFORE(_xlfn.TEXTAFTER(A312, "|", 3), "|", 1)</f>
        <v>USA-MN</v>
      </c>
      <c r="E312" t="str">
        <f>_xlfn.TEXTBEFORE(_xlfn.TEXTAFTER(A312, "|", 4), "|", 1)</f>
        <v>2023-07-19</v>
      </c>
    </row>
    <row r="313" spans="1:5" x14ac:dyDescent="0.3">
      <c r="A313" t="s">
        <v>491</v>
      </c>
      <c r="B313" t="str">
        <f>_xlfn.TEXTBEFORE(_xlfn.TEXTAFTER(A313, "|", 1), "|", 1)</f>
        <v>A/Glaucous_Gull/AK/23-025003-001-original/2023</v>
      </c>
      <c r="C313" t="str">
        <f>LOWER(_xlfn.TEXTBEFORE(_xlfn.TEXTAFTER(B313, "/", 1), "/", 1))</f>
        <v>glaucous_gull</v>
      </c>
      <c r="D313" t="str">
        <f>_xlfn.TEXTBEFORE(_xlfn.TEXTAFTER(A313, "|", 3), "|", 1)</f>
        <v>USA-AK</v>
      </c>
      <c r="E313" t="str">
        <f>_xlfn.TEXTBEFORE(_xlfn.TEXTAFTER(A313, "|", 4), "|", 1)</f>
        <v>2023-07-22</v>
      </c>
    </row>
    <row r="314" spans="1:5" x14ac:dyDescent="0.3">
      <c r="A314" t="s">
        <v>129</v>
      </c>
      <c r="B314" t="str">
        <f>_xlfn.TEXTBEFORE(_xlfn.TEXTAFTER(A314, "|", 1), "|", 1)</f>
        <v>A/Red_Tailed_Hawk/BC/AIVPHL-1236/2023</v>
      </c>
      <c r="C314" t="str">
        <f>LOWER(_xlfn.TEXTBEFORE(_xlfn.TEXTAFTER(B314, "/", 1), "/", 1))</f>
        <v>red_tailed_hawk</v>
      </c>
      <c r="D314" t="str">
        <f>_xlfn.TEXTBEFORE(_xlfn.TEXTAFTER(A314, "|", 3), "|", 1)</f>
        <v>Canada-BC</v>
      </c>
      <c r="E314" t="str">
        <f>_xlfn.TEXTBEFORE(_xlfn.TEXTAFTER(A314, "|", 4), "|", 1)</f>
        <v>2023-07-24</v>
      </c>
    </row>
    <row r="315" spans="1:5" x14ac:dyDescent="0.3">
      <c r="A315" t="s">
        <v>77</v>
      </c>
      <c r="B315" t="str">
        <f>_xlfn.TEXTBEFORE(_xlfn.TEXTAFTER(A315, "|", 1), "|", 1)</f>
        <v>A/common_murre/Alaska/23-027066-011/2023</v>
      </c>
      <c r="C315" t="str">
        <f>LOWER(_xlfn.TEXTBEFORE(_xlfn.TEXTAFTER(B315, "/", 1), "/", 1))</f>
        <v>common_murre</v>
      </c>
      <c r="D315" t="str">
        <f>_xlfn.TEXTBEFORE(_xlfn.TEXTAFTER(A315, "|", 3), "|", 1)</f>
        <v>USA-AK</v>
      </c>
      <c r="E315" t="str">
        <f>_xlfn.TEXTBEFORE(_xlfn.TEXTAFTER(A315, "|", 4), "|", 1)</f>
        <v>2023-08-01</v>
      </c>
    </row>
    <row r="316" spans="1:5" x14ac:dyDescent="0.3">
      <c r="A316" t="s">
        <v>78</v>
      </c>
      <c r="B316" t="str">
        <f>_xlfn.TEXTBEFORE(_xlfn.TEXTAFTER(A316, "|", 1), "|", 1)</f>
        <v>A/common_murre/Alaska/23-027066-002/2023</v>
      </c>
      <c r="C316" t="str">
        <f>LOWER(_xlfn.TEXTBEFORE(_xlfn.TEXTAFTER(B316, "/", 1), "/", 1))</f>
        <v>common_murre</v>
      </c>
      <c r="D316" t="str">
        <f>_xlfn.TEXTBEFORE(_xlfn.TEXTAFTER(A316, "|", 3), "|", 1)</f>
        <v>USA-AK</v>
      </c>
      <c r="E316" t="str">
        <f>_xlfn.TEXTBEFORE(_xlfn.TEXTAFTER(A316, "|", 4), "|", 1)</f>
        <v>2023-08-01</v>
      </c>
    </row>
    <row r="317" spans="1:5" x14ac:dyDescent="0.3">
      <c r="A317" t="s">
        <v>79</v>
      </c>
      <c r="B317" t="str">
        <f>_xlfn.TEXTBEFORE(_xlfn.TEXTAFTER(A317, "|", 1), "|", 1)</f>
        <v>A/common_murre/Alaska/23-027066-013/2023</v>
      </c>
      <c r="C317" t="str">
        <f>LOWER(_xlfn.TEXTBEFORE(_xlfn.TEXTAFTER(B317, "/", 1), "/", 1))</f>
        <v>common_murre</v>
      </c>
      <c r="D317" t="str">
        <f>_xlfn.TEXTBEFORE(_xlfn.TEXTAFTER(A317, "|", 3), "|", 1)</f>
        <v>USA-AK</v>
      </c>
      <c r="E317" t="str">
        <f>_xlfn.TEXTBEFORE(_xlfn.TEXTAFTER(A317, "|", 4), "|", 1)</f>
        <v>2023-08-01</v>
      </c>
    </row>
    <row r="318" spans="1:5" x14ac:dyDescent="0.3">
      <c r="A318" t="s">
        <v>88</v>
      </c>
      <c r="B318" t="str">
        <f>_xlfn.TEXTBEFORE(_xlfn.TEXTAFTER(A318, "|", 1), "|", 1)</f>
        <v>A/common_murre/Alaska/23-027066-010/2023</v>
      </c>
      <c r="C318" t="str">
        <f>LOWER(_xlfn.TEXTBEFORE(_xlfn.TEXTAFTER(B318, "/", 1), "/", 1))</f>
        <v>common_murre</v>
      </c>
      <c r="D318" t="str">
        <f>_xlfn.TEXTBEFORE(_xlfn.TEXTAFTER(A318, "|", 3), "|", 1)</f>
        <v>USA-AK</v>
      </c>
      <c r="E318" t="str">
        <f>_xlfn.TEXTBEFORE(_xlfn.TEXTAFTER(A318, "|", 4), "|", 1)</f>
        <v>2023-08-01</v>
      </c>
    </row>
    <row r="319" spans="1:5" x14ac:dyDescent="0.3">
      <c r="A319" t="s">
        <v>474</v>
      </c>
      <c r="B319" t="str">
        <f>_xlfn.TEXTBEFORE(_xlfn.TEXTAFTER(A319, "|", 1), "|", 1)</f>
        <v>A/Black-legged_kittiwake/AK/23-029675-001-original/2023</v>
      </c>
      <c r="C319" t="str">
        <f>LOWER(_xlfn.TEXTBEFORE(_xlfn.TEXTAFTER(B319, "/", 1), "/", 1))</f>
        <v>black-legged_kittiwake</v>
      </c>
      <c r="D319" t="str">
        <f>_xlfn.TEXTBEFORE(_xlfn.TEXTAFTER(A319, "|", 3), "|", 1)</f>
        <v>USA-AK</v>
      </c>
      <c r="E319" t="str">
        <f>_xlfn.TEXTBEFORE(_xlfn.TEXTAFTER(A319, "|", 4), "|", 1)</f>
        <v>2023-09-19</v>
      </c>
    </row>
    <row r="320" spans="1:5" x14ac:dyDescent="0.3">
      <c r="A320" t="s">
        <v>537</v>
      </c>
      <c r="B320" t="str">
        <f>_xlfn.TEXTBEFORE(_xlfn.TEXTAFTER(A320, "|", 1), "|", 1)</f>
        <v>A/polar_bear/Alaska/23-038123/2023</v>
      </c>
      <c r="C320" t="str">
        <f>LOWER(_xlfn.TEXTBEFORE(_xlfn.TEXTAFTER(B320, "/", 1), "/", 1))</f>
        <v>polar_bear</v>
      </c>
      <c r="D320" t="str">
        <f>_xlfn.TEXTBEFORE(_xlfn.TEXTAFTER(A320, "|", 3), "|", 1)</f>
        <v>USA-AK</v>
      </c>
      <c r="E320" t="str">
        <f>_xlfn.TEXTBEFORE(_xlfn.TEXTAFTER(A320, "|", 4), "|", 1)</f>
        <v>2023-10-01</v>
      </c>
    </row>
    <row r="321" spans="1:5" x14ac:dyDescent="0.3">
      <c r="A321" t="s">
        <v>387</v>
      </c>
      <c r="B321" t="str">
        <f>_xlfn.TEXTBEFORE(_xlfn.TEXTAFTER(A321, "|", 1), "|", 1)</f>
        <v>A/mallard/USA/IZ23_0851/2023</v>
      </c>
      <c r="C321" t="str">
        <f>LOWER(_xlfn.TEXTBEFORE(_xlfn.TEXTAFTER(B321, "/", 1), "/", 1))</f>
        <v>mallard</v>
      </c>
      <c r="D321" t="str">
        <f>_xlfn.TEXTBEFORE(_xlfn.TEXTAFTER(A321, "|", 3), "|", 1)</f>
        <v>USA-AK</v>
      </c>
      <c r="E321" t="str">
        <f>_xlfn.TEXTBEFORE(_xlfn.TEXTAFTER(A321, "|", 4), "|", 1)</f>
        <v>2023-10-09</v>
      </c>
    </row>
    <row r="322" spans="1:5" x14ac:dyDescent="0.3">
      <c r="A322" t="s">
        <v>388</v>
      </c>
      <c r="B322" t="str">
        <f>_xlfn.TEXTBEFORE(_xlfn.TEXTAFTER(A322, "|", 1), "|", 1)</f>
        <v>A/northern_pintail/USA/IZ23_0847/2023</v>
      </c>
      <c r="C322" t="str">
        <f>LOWER(_xlfn.TEXTBEFORE(_xlfn.TEXTAFTER(B322, "/", 1), "/", 1))</f>
        <v>northern_pintail</v>
      </c>
      <c r="D322" t="str">
        <f>_xlfn.TEXTBEFORE(_xlfn.TEXTAFTER(A322, "|", 3), "|", 1)</f>
        <v>USA-AK</v>
      </c>
      <c r="E322" t="str">
        <f>_xlfn.TEXTBEFORE(_xlfn.TEXTAFTER(A322, "|", 4), "|", 1)</f>
        <v>2023-10-09</v>
      </c>
    </row>
    <row r="323" spans="1:5" x14ac:dyDescent="0.3">
      <c r="A323" t="s">
        <v>389</v>
      </c>
      <c r="B323" t="str">
        <f>_xlfn.TEXTBEFORE(_xlfn.TEXTAFTER(A323, "|", 1), "|", 1)</f>
        <v>A/northern_pintail/USA/IZ23_0849/2023</v>
      </c>
      <c r="C323" t="str">
        <f>LOWER(_xlfn.TEXTBEFORE(_xlfn.TEXTAFTER(B323, "/", 1), "/", 1))</f>
        <v>northern_pintail</v>
      </c>
      <c r="D323" t="str">
        <f>_xlfn.TEXTBEFORE(_xlfn.TEXTAFTER(A323, "|", 3), "|", 1)</f>
        <v>USA-AK</v>
      </c>
      <c r="E323" t="str">
        <f>_xlfn.TEXTBEFORE(_xlfn.TEXTAFTER(A323, "|", 4), "|", 1)</f>
        <v>2023-10-09</v>
      </c>
    </row>
    <row r="324" spans="1:5" x14ac:dyDescent="0.3">
      <c r="A324" t="s">
        <v>58</v>
      </c>
      <c r="B324" t="str">
        <f>_xlfn.TEXTBEFORE(_xlfn.TEXTAFTER(A324, "|", 1), "|", 1)</f>
        <v>A/Peregrine_Falcon/BC/FAV-0015-49/2024</v>
      </c>
      <c r="C324" t="str">
        <f>LOWER(_xlfn.TEXTBEFORE(_xlfn.TEXTAFTER(B324, "/", 1), "/", 1))</f>
        <v>peregrine_falcon</v>
      </c>
      <c r="D324" t="str">
        <f>_xlfn.TEXTBEFORE(_xlfn.TEXTAFTER(A324, "|", 3), "|", 1)</f>
        <v>Canada-BC</v>
      </c>
      <c r="E324" t="str">
        <f>_xlfn.TEXTBEFORE(_xlfn.TEXTAFTER(A324, "|", 4), "|", 1)</f>
        <v>2023-10-16</v>
      </c>
    </row>
    <row r="325" spans="1:5" x14ac:dyDescent="0.3">
      <c r="A325" t="s">
        <v>35</v>
      </c>
      <c r="B325" t="str">
        <f>_xlfn.TEXTBEFORE(_xlfn.TEXTAFTER(A325, "|", 1), "|", 1)</f>
        <v>A/Great_Blue_Heron/BC/FAV-0015-2/2024</v>
      </c>
      <c r="C325" t="str">
        <f>LOWER(_xlfn.TEXTBEFORE(_xlfn.TEXTAFTER(B325, "/", 1), "/", 1))</f>
        <v>great_blue_heron</v>
      </c>
      <c r="D325" t="str">
        <f>_xlfn.TEXTBEFORE(_xlfn.TEXTAFTER(A325, "|", 3), "|", 1)</f>
        <v>Canada-BC</v>
      </c>
      <c r="E325" t="str">
        <f>_xlfn.TEXTBEFORE(_xlfn.TEXTAFTER(A325, "|", 4), "|", 1)</f>
        <v>2023-10-23</v>
      </c>
    </row>
    <row r="326" spans="1:5" x14ac:dyDescent="0.3">
      <c r="A326" t="s">
        <v>111</v>
      </c>
      <c r="B326" t="str">
        <f>_xlfn.TEXTBEFORE(_xlfn.TEXTAFTER(A326, "|", 1), "|", 1)</f>
        <v>A/chicken/Alaska/23-032967-001/2023</v>
      </c>
      <c r="C326" t="str">
        <f>LOWER(_xlfn.TEXTBEFORE(_xlfn.TEXTAFTER(B326, "/", 1), "/", 1))</f>
        <v>chicken</v>
      </c>
      <c r="D326" t="str">
        <f>_xlfn.TEXTBEFORE(_xlfn.TEXTAFTER(A326, "|", 3), "|", 1)</f>
        <v>USA-AK</v>
      </c>
      <c r="E326" t="str">
        <f>_xlfn.TEXTBEFORE(_xlfn.TEXTAFTER(A326, "|", 4), "|", 1)</f>
        <v>2023-10-27</v>
      </c>
    </row>
    <row r="327" spans="1:5" x14ac:dyDescent="0.3">
      <c r="A327" t="s">
        <v>115</v>
      </c>
      <c r="B327" t="str">
        <f>_xlfn.TEXTBEFORE(_xlfn.TEXTAFTER(A327, "|", 1), "|", 1)</f>
        <v>A/chicken/Alaska/23-032968-001/2023</v>
      </c>
      <c r="C327" t="str">
        <f>LOWER(_xlfn.TEXTBEFORE(_xlfn.TEXTAFTER(B327, "/", 1), "/", 1))</f>
        <v>chicken</v>
      </c>
      <c r="D327" t="str">
        <f>_xlfn.TEXTBEFORE(_xlfn.TEXTAFTER(A327, "|", 3), "|", 1)</f>
        <v>USA-AK</v>
      </c>
      <c r="E327" t="str">
        <f>_xlfn.TEXTBEFORE(_xlfn.TEXTAFTER(A327, "|", 4), "|", 1)</f>
        <v>2023-10-27</v>
      </c>
    </row>
    <row r="328" spans="1:5" x14ac:dyDescent="0.3">
      <c r="A328" t="s">
        <v>122</v>
      </c>
      <c r="B328" t="str">
        <f>_xlfn.TEXTBEFORE(_xlfn.TEXTAFTER(A328, "|", 1), "|", 1)</f>
        <v>A/domestic_goose/Alaska/23-032967-002/2023</v>
      </c>
      <c r="C328" t="str">
        <f>LOWER(_xlfn.TEXTBEFORE(_xlfn.TEXTAFTER(B328, "/", 1), "/", 1))</f>
        <v>domestic_goose</v>
      </c>
      <c r="D328" t="str">
        <f>_xlfn.TEXTBEFORE(_xlfn.TEXTAFTER(A328, "|", 3), "|", 1)</f>
        <v>USA-AK</v>
      </c>
      <c r="E328" t="str">
        <f>_xlfn.TEXTBEFORE(_xlfn.TEXTAFTER(A328, "|", 4), "|", 1)</f>
        <v>2023-10-27</v>
      </c>
    </row>
    <row r="329" spans="1:5" x14ac:dyDescent="0.3">
      <c r="A329" t="s">
        <v>135</v>
      </c>
      <c r="B329" t="str">
        <f>_xlfn.TEXTBEFORE(_xlfn.TEXTAFTER(A329, "|", 1), "|", 1)</f>
        <v>A/guinea_fowl/Alaska/23-032967-003/2023</v>
      </c>
      <c r="C329" t="str">
        <f>LOWER(_xlfn.TEXTBEFORE(_xlfn.TEXTAFTER(B329, "/", 1), "/", 1))</f>
        <v>guinea_fowl</v>
      </c>
      <c r="D329" t="str">
        <f>_xlfn.TEXTBEFORE(_xlfn.TEXTAFTER(A329, "|", 3), "|", 1)</f>
        <v>USA-AK</v>
      </c>
      <c r="E329" t="str">
        <f>_xlfn.TEXTBEFORE(_xlfn.TEXTAFTER(A329, "|", 4), "|", 1)</f>
        <v>2023-10-27</v>
      </c>
    </row>
    <row r="330" spans="1:5" x14ac:dyDescent="0.3">
      <c r="A330" t="s">
        <v>36</v>
      </c>
      <c r="B330" t="str">
        <f>_xlfn.TEXTBEFORE(_xlfn.TEXTAFTER(A330, "|", 1), "|", 1)</f>
        <v>A/American_Wigeon/BC/FAV-0015-5/2024</v>
      </c>
      <c r="C330" t="str">
        <f>LOWER(_xlfn.TEXTBEFORE(_xlfn.TEXTAFTER(B330, "/", 1), "/", 1))</f>
        <v>american_wigeon</v>
      </c>
      <c r="D330" t="str">
        <f>_xlfn.TEXTBEFORE(_xlfn.TEXTAFTER(A330, "|", 3), "|", 1)</f>
        <v>Canada-BC</v>
      </c>
      <c r="E330" t="str">
        <f>_xlfn.TEXTBEFORE(_xlfn.TEXTAFTER(A330, "|", 4), "|", 1)</f>
        <v>2023-10-28</v>
      </c>
    </row>
    <row r="331" spans="1:5" x14ac:dyDescent="0.3">
      <c r="A331" t="s">
        <v>55</v>
      </c>
      <c r="B331" t="str">
        <f>_xlfn.TEXTBEFORE(_xlfn.TEXTAFTER(A331, "|", 1), "|", 1)</f>
        <v>A/Trumpeter_Swan/BC/FAV-0015-47/2024</v>
      </c>
      <c r="C331" t="str">
        <f>LOWER(_xlfn.TEXTBEFORE(_xlfn.TEXTAFTER(B331, "/", 1), "/", 1))</f>
        <v>trumpeter_swan</v>
      </c>
      <c r="D331" t="str">
        <f>_xlfn.TEXTBEFORE(_xlfn.TEXTAFTER(A331, "|", 3), "|", 1)</f>
        <v>Canada-BC</v>
      </c>
      <c r="E331" t="str">
        <f>_xlfn.TEXTBEFORE(_xlfn.TEXTAFTER(A331, "|", 4), "|", 1)</f>
        <v>2023-11-01</v>
      </c>
    </row>
    <row r="332" spans="1:5" x14ac:dyDescent="0.3">
      <c r="A332" t="s">
        <v>56</v>
      </c>
      <c r="B332" t="str">
        <f>_xlfn.TEXTBEFORE(_xlfn.TEXTAFTER(A332, "|", 1), "|", 1)</f>
        <v>A/Glaucous-winged_Gull/BC/FAV-0015-12/2024</v>
      </c>
      <c r="C332" t="str">
        <f>LOWER(_xlfn.TEXTBEFORE(_xlfn.TEXTAFTER(B332, "/", 1), "/", 1))</f>
        <v>glaucous-winged_gull</v>
      </c>
      <c r="D332" t="str">
        <f>_xlfn.TEXTBEFORE(_xlfn.TEXTAFTER(A332, "|", 3), "|", 1)</f>
        <v>Canada-BC</v>
      </c>
      <c r="E332" t="str">
        <f>_xlfn.TEXTBEFORE(_xlfn.TEXTAFTER(A332, "|", 4), "|", 1)</f>
        <v>2023-11-01</v>
      </c>
    </row>
    <row r="333" spans="1:5" x14ac:dyDescent="0.3">
      <c r="A333" t="s">
        <v>44</v>
      </c>
      <c r="B333" t="str">
        <f>_xlfn.TEXTBEFORE(_xlfn.TEXTAFTER(A333, "|", 1), "|", 1)</f>
        <v>A/Red-Tailed_Hawk/BC/FAV-0432-4/2023</v>
      </c>
      <c r="C333" t="str">
        <f>LOWER(_xlfn.TEXTBEFORE(_xlfn.TEXTAFTER(B333, "/", 1), "/", 1))</f>
        <v>red-tailed_hawk</v>
      </c>
      <c r="D333" t="str">
        <f>_xlfn.TEXTBEFORE(_xlfn.TEXTAFTER(A333, "|", 3), "|", 1)</f>
        <v>Canada-BC</v>
      </c>
      <c r="E333" t="str">
        <f>_xlfn.TEXTBEFORE(_xlfn.TEXTAFTER(A333, "|", 4), "|", 1)</f>
        <v>2023-11-03</v>
      </c>
    </row>
    <row r="334" spans="1:5" x14ac:dyDescent="0.3">
      <c r="A334" t="s">
        <v>98</v>
      </c>
      <c r="B334" t="str">
        <f>_xlfn.TEXTBEFORE(_xlfn.TEXTAFTER(A334, "|", 1), "|", 1)</f>
        <v>A/Red_Tailed_Hawk/BC/AIVPHL-1372/2023</v>
      </c>
      <c r="C334" t="str">
        <f>LOWER(_xlfn.TEXTBEFORE(_xlfn.TEXTAFTER(B334, "/", 1), "/", 1))</f>
        <v>red_tailed_hawk</v>
      </c>
      <c r="D334" t="str">
        <f>_xlfn.TEXTBEFORE(_xlfn.TEXTAFTER(A334, "|", 3), "|", 1)</f>
        <v>Canada-BC</v>
      </c>
      <c r="E334" t="str">
        <f>_xlfn.TEXTBEFORE(_xlfn.TEXTAFTER(A334, "|", 4), "|", 1)</f>
        <v>2023-11-03</v>
      </c>
    </row>
    <row r="335" spans="1:5" x14ac:dyDescent="0.3">
      <c r="A335" t="s">
        <v>131</v>
      </c>
      <c r="B335" t="str">
        <f>_xlfn.TEXTBEFORE(_xlfn.TEXTAFTER(A335, "|", 1), "|", 1)</f>
        <v>A/domestic_goose/Alaska/23-034050-002/2023</v>
      </c>
      <c r="C335" t="str">
        <f>LOWER(_xlfn.TEXTBEFORE(_xlfn.TEXTAFTER(B335, "/", 1), "/", 1))</f>
        <v>domestic_goose</v>
      </c>
      <c r="D335" t="str">
        <f>_xlfn.TEXTBEFORE(_xlfn.TEXTAFTER(A335, "|", 3), "|", 1)</f>
        <v>USA-AK</v>
      </c>
      <c r="E335" t="str">
        <f>_xlfn.TEXTBEFORE(_xlfn.TEXTAFTER(A335, "|", 4), "|", 1)</f>
        <v>2023-11-03</v>
      </c>
    </row>
    <row r="336" spans="1:5" x14ac:dyDescent="0.3">
      <c r="A336" t="s">
        <v>136</v>
      </c>
      <c r="B336" t="str">
        <f>_xlfn.TEXTBEFORE(_xlfn.TEXTAFTER(A336, "|", 1), "|", 1)</f>
        <v>A/chicken/Alaska/23-034050-001/2023</v>
      </c>
      <c r="C336" t="str">
        <f>LOWER(_xlfn.TEXTBEFORE(_xlfn.TEXTAFTER(B336, "/", 1), "/", 1))</f>
        <v>chicken</v>
      </c>
      <c r="D336" t="str">
        <f>_xlfn.TEXTBEFORE(_xlfn.TEXTAFTER(A336, "|", 3), "|", 1)</f>
        <v>USA-AK</v>
      </c>
      <c r="E336" t="str">
        <f>_xlfn.TEXTBEFORE(_xlfn.TEXTAFTER(A336, "|", 4), "|", 1)</f>
        <v>2023-11-03</v>
      </c>
    </row>
    <row r="337" spans="1:5" x14ac:dyDescent="0.3">
      <c r="A337" t="s">
        <v>4</v>
      </c>
      <c r="B337" t="str">
        <f>_xlfn.TEXTBEFORE(_xlfn.TEXTAFTER(A337, "|", 1), "|", 1)</f>
        <v>A/Bald_Eagle/BC/AIVPHL-1455/2023</v>
      </c>
      <c r="C337" t="str">
        <f>LOWER(_xlfn.TEXTBEFORE(_xlfn.TEXTAFTER(B337, "/", 1), "/", 1))</f>
        <v>bald_eagle</v>
      </c>
      <c r="D337" t="str">
        <f>_xlfn.TEXTBEFORE(_xlfn.TEXTAFTER(A337, "|", 3), "|", 1)</f>
        <v>Canada-BC</v>
      </c>
      <c r="E337" t="str">
        <f>_xlfn.TEXTBEFORE(_xlfn.TEXTAFTER(A337, "|", 4), "|", 1)</f>
        <v>2023-11-04</v>
      </c>
    </row>
    <row r="338" spans="1:5" x14ac:dyDescent="0.3">
      <c r="A338" t="s">
        <v>43</v>
      </c>
      <c r="B338" t="str">
        <f>_xlfn.TEXTBEFORE(_xlfn.TEXTAFTER(A338, "|", 1), "|", 1)</f>
        <v>A/Red-tailed_Hawk/BC/FAV-0015-25/2024</v>
      </c>
      <c r="C338" t="str">
        <f>LOWER(_xlfn.TEXTBEFORE(_xlfn.TEXTAFTER(B338, "/", 1), "/", 1))</f>
        <v>red-tailed_hawk</v>
      </c>
      <c r="D338" t="str">
        <f>_xlfn.TEXTBEFORE(_xlfn.TEXTAFTER(A338, "|", 3), "|", 1)</f>
        <v>Canada-BC</v>
      </c>
      <c r="E338" t="str">
        <f>_xlfn.TEXTBEFORE(_xlfn.TEXTAFTER(A338, "|", 4), "|", 1)</f>
        <v>2023-11-05</v>
      </c>
    </row>
    <row r="339" spans="1:5" x14ac:dyDescent="0.3">
      <c r="A339" t="s">
        <v>81</v>
      </c>
      <c r="B339" t="str">
        <f>_xlfn.TEXTBEFORE(_xlfn.TEXTAFTER(A339, "|", 1), "|", 1)</f>
        <v>A/Chicken/BC/FAV-0347-2/2023</v>
      </c>
      <c r="C339" t="str">
        <f>LOWER(_xlfn.TEXTBEFORE(_xlfn.TEXTAFTER(B339, "/", 1), "/", 1))</f>
        <v>chicken</v>
      </c>
      <c r="D339" t="str">
        <f>_xlfn.TEXTBEFORE(_xlfn.TEXTAFTER(A339, "|", 3), "|", 1)</f>
        <v>Canada-BC</v>
      </c>
      <c r="E339" t="str">
        <f>_xlfn.TEXTBEFORE(_xlfn.TEXTAFTER(A339, "|", 4), "|", 1)</f>
        <v>2023-11-06</v>
      </c>
    </row>
    <row r="340" spans="1:5" x14ac:dyDescent="0.3">
      <c r="A340" t="s">
        <v>82</v>
      </c>
      <c r="B340" t="str">
        <f>_xlfn.TEXTBEFORE(_xlfn.TEXTAFTER(A340, "|", 1), "|", 1)</f>
        <v>A/Chicken/BC/FAV-0347-1/2023</v>
      </c>
      <c r="C340" t="str">
        <f>LOWER(_xlfn.TEXTBEFORE(_xlfn.TEXTAFTER(B340, "/", 1), "/", 1))</f>
        <v>chicken</v>
      </c>
      <c r="D340" t="str">
        <f>_xlfn.TEXTBEFORE(_xlfn.TEXTAFTER(A340, "|", 3), "|", 1)</f>
        <v>Canada-BC</v>
      </c>
      <c r="E340" t="str">
        <f>_xlfn.TEXTBEFORE(_xlfn.TEXTAFTER(A340, "|", 4), "|", 1)</f>
        <v>2023-11-06</v>
      </c>
    </row>
    <row r="341" spans="1:5" x14ac:dyDescent="0.3">
      <c r="A341" t="s">
        <v>75</v>
      </c>
      <c r="B341" t="str">
        <f>_xlfn.TEXTBEFORE(_xlfn.TEXTAFTER(A341, "|", 1), "|", 1)</f>
        <v>A/Duck/BC/FAV-0342-12022</v>
      </c>
      <c r="C341" t="str">
        <f>LOWER(_xlfn.TEXTBEFORE(_xlfn.TEXTAFTER(B341, "/", 1), "/", 1))</f>
        <v>duck</v>
      </c>
      <c r="D341" t="str">
        <f>_xlfn.TEXTBEFORE(_xlfn.TEXTAFTER(A341, "|", 3), "|", 1)</f>
        <v>Duck</v>
      </c>
      <c r="E341" t="str">
        <f>_xlfn.TEXTBEFORE(_xlfn.TEXTAFTER(A341, "|", 4), "|", 1)</f>
        <v>2023-11-06</v>
      </c>
    </row>
    <row r="342" spans="1:5" x14ac:dyDescent="0.3">
      <c r="A342" t="s">
        <v>37</v>
      </c>
      <c r="B342" t="str">
        <f>_xlfn.TEXTBEFORE(_xlfn.TEXTAFTER(A342, "|", 1), "|", 1)</f>
        <v>A/Canada_Goose/BC/FAV-0355-1/2023</v>
      </c>
      <c r="C342" t="str">
        <f>LOWER(_xlfn.TEXTBEFORE(_xlfn.TEXTAFTER(B342, "/", 1), "/", 1))</f>
        <v>canada_goose</v>
      </c>
      <c r="D342" t="str">
        <f>_xlfn.TEXTBEFORE(_xlfn.TEXTAFTER(A342, "|", 3), "|", 1)</f>
        <v>Canada-BC</v>
      </c>
      <c r="E342" t="str">
        <f>_xlfn.TEXTBEFORE(_xlfn.TEXTAFTER(A342, "|", 4), "|", 1)</f>
        <v>2023-11-07</v>
      </c>
    </row>
    <row r="343" spans="1:5" x14ac:dyDescent="0.3">
      <c r="A343" t="s">
        <v>38</v>
      </c>
      <c r="B343" t="str">
        <f>_xlfn.TEXTBEFORE(_xlfn.TEXTAFTER(A343, "|", 1), "|", 1)</f>
        <v>A/Canada_Goose/BC/FAV-0432-14/2023</v>
      </c>
      <c r="C343" t="str">
        <f>LOWER(_xlfn.TEXTBEFORE(_xlfn.TEXTAFTER(B343, "/", 1), "/", 1))</f>
        <v>canada_goose</v>
      </c>
      <c r="D343" t="str">
        <f>_xlfn.TEXTBEFORE(_xlfn.TEXTAFTER(A343, "|", 3), "|", 1)</f>
        <v>Canada-BC</v>
      </c>
      <c r="E343" t="str">
        <f>_xlfn.TEXTBEFORE(_xlfn.TEXTAFTER(A343, "|", 4), "|", 1)</f>
        <v>2023-11-07</v>
      </c>
    </row>
    <row r="344" spans="1:5" x14ac:dyDescent="0.3">
      <c r="A344" t="s">
        <v>39</v>
      </c>
      <c r="B344" t="str">
        <f>_xlfn.TEXTBEFORE(_xlfn.TEXTAFTER(A344, "|", 1), "|", 1)</f>
        <v>A/Canada_Goose/BC/FAV-0015-15/2024</v>
      </c>
      <c r="C344" t="str">
        <f>LOWER(_xlfn.TEXTBEFORE(_xlfn.TEXTAFTER(B344, "/", 1), "/", 1))</f>
        <v>canada_goose</v>
      </c>
      <c r="D344" t="str">
        <f>_xlfn.TEXTBEFORE(_xlfn.TEXTAFTER(A344, "|", 3), "|", 1)</f>
        <v>Canada-BC</v>
      </c>
      <c r="E344" t="str">
        <f>_xlfn.TEXTBEFORE(_xlfn.TEXTAFTER(A344, "|", 4), "|", 1)</f>
        <v>2023-11-07</v>
      </c>
    </row>
    <row r="345" spans="1:5" x14ac:dyDescent="0.3">
      <c r="A345" t="s">
        <v>84</v>
      </c>
      <c r="B345" t="str">
        <f>_xlfn.TEXTBEFORE(_xlfn.TEXTAFTER(A345, "|", 1), "|", 1)</f>
        <v>A/Chicken/BC/FAV-0349-1/2023</v>
      </c>
      <c r="C345" t="str">
        <f>LOWER(_xlfn.TEXTBEFORE(_xlfn.TEXTAFTER(B345, "/", 1), "/", 1))</f>
        <v>chicken</v>
      </c>
      <c r="D345" t="str">
        <f>_xlfn.TEXTBEFORE(_xlfn.TEXTAFTER(A345, "|", 3), "|", 1)</f>
        <v>Canada-BC</v>
      </c>
      <c r="E345" t="str">
        <f>_xlfn.TEXTBEFORE(_xlfn.TEXTAFTER(A345, "|", 4), "|", 1)</f>
        <v>2023-11-07</v>
      </c>
    </row>
    <row r="346" spans="1:5" x14ac:dyDescent="0.3">
      <c r="A346" t="s">
        <v>86</v>
      </c>
      <c r="B346" t="str">
        <f>_xlfn.TEXTBEFORE(_xlfn.TEXTAFTER(A346, "|", 1), "|", 1)</f>
        <v>A/Chicken/BC/FAV-0349-2/2023</v>
      </c>
      <c r="C346" t="str">
        <f>LOWER(_xlfn.TEXTBEFORE(_xlfn.TEXTAFTER(B346, "/", 1), "/", 1))</f>
        <v>chicken</v>
      </c>
      <c r="D346" t="str">
        <f>_xlfn.TEXTBEFORE(_xlfn.TEXTAFTER(A346, "|", 3), "|", 1)</f>
        <v>Canada-BC</v>
      </c>
      <c r="E346" t="str">
        <f>_xlfn.TEXTBEFORE(_xlfn.TEXTAFTER(A346, "|", 4), "|", 1)</f>
        <v>2023-11-07</v>
      </c>
    </row>
    <row r="347" spans="1:5" x14ac:dyDescent="0.3">
      <c r="A347" t="s">
        <v>114</v>
      </c>
      <c r="B347" t="str">
        <f>_xlfn.TEXTBEFORE(_xlfn.TEXTAFTER(A347, "|", 1), "|", 1)</f>
        <v>A/Canada_Goose/BC/AIVPHL-1386/2023</v>
      </c>
      <c r="C347" t="str">
        <f>LOWER(_xlfn.TEXTBEFORE(_xlfn.TEXTAFTER(B347, "/", 1), "/", 1))</f>
        <v>canada_goose</v>
      </c>
      <c r="D347" t="str">
        <f>_xlfn.TEXTBEFORE(_xlfn.TEXTAFTER(A347, "|", 3), "|", 1)</f>
        <v>Canada-BC</v>
      </c>
      <c r="E347" t="str">
        <f>_xlfn.TEXTBEFORE(_xlfn.TEXTAFTER(A347, "|", 4), "|", 1)</f>
        <v>2023-11-07</v>
      </c>
    </row>
    <row r="348" spans="1:5" x14ac:dyDescent="0.3">
      <c r="A348" t="s">
        <v>52</v>
      </c>
      <c r="B348" t="str">
        <f>_xlfn.TEXTBEFORE(_xlfn.TEXTAFTER(A348, "|", 1), "|", 1)</f>
        <v>A/Great_Horned_Owl/BC/FAV-0432-18/2023</v>
      </c>
      <c r="C348" t="str">
        <f>LOWER(_xlfn.TEXTBEFORE(_xlfn.TEXTAFTER(B348, "/", 1), "/", 1))</f>
        <v>great_horned_owl</v>
      </c>
      <c r="D348" t="str">
        <f>_xlfn.TEXTBEFORE(_xlfn.TEXTAFTER(A348, "|", 3), "|", 1)</f>
        <v>Canada-BC</v>
      </c>
      <c r="E348" t="str">
        <f>_xlfn.TEXTBEFORE(_xlfn.TEXTAFTER(A348, "|", 4), "|", 1)</f>
        <v>2023-11-08</v>
      </c>
    </row>
    <row r="349" spans="1:5" x14ac:dyDescent="0.3">
      <c r="A349" t="s">
        <v>85</v>
      </c>
      <c r="B349" t="str">
        <f>_xlfn.TEXTBEFORE(_xlfn.TEXTAFTER(A349, "|", 1), "|", 1)</f>
        <v>A/Chicken/BC/FAV-0350-2/2023</v>
      </c>
      <c r="C349" t="str">
        <f>LOWER(_xlfn.TEXTBEFORE(_xlfn.TEXTAFTER(B349, "/", 1), "/", 1))</f>
        <v>chicken</v>
      </c>
      <c r="D349" t="str">
        <f>_xlfn.TEXTBEFORE(_xlfn.TEXTAFTER(A349, "|", 3), "|", 1)</f>
        <v>Canada-BC</v>
      </c>
      <c r="E349" t="str">
        <f>_xlfn.TEXTBEFORE(_xlfn.TEXTAFTER(A349, "|", 4), "|", 1)</f>
        <v>2023-11-08</v>
      </c>
    </row>
    <row r="350" spans="1:5" x14ac:dyDescent="0.3">
      <c r="A350" t="s">
        <v>120</v>
      </c>
      <c r="B350" t="str">
        <f>_xlfn.TEXTBEFORE(_xlfn.TEXTAFTER(A350, "|", 1), "|", 1)</f>
        <v>A/Great_Horned_Owl/BC/AIVPHL-1388/2023</v>
      </c>
      <c r="C350" t="str">
        <f>LOWER(_xlfn.TEXTBEFORE(_xlfn.TEXTAFTER(B350, "/", 1), "/", 1))</f>
        <v>great_horned_owl</v>
      </c>
      <c r="D350" t="str">
        <f>_xlfn.TEXTBEFORE(_xlfn.TEXTAFTER(A350, "|", 3), "|", 1)</f>
        <v>Canada-BC</v>
      </c>
      <c r="E350" t="str">
        <f>_xlfn.TEXTBEFORE(_xlfn.TEXTAFTER(A350, "|", 4), "|", 1)</f>
        <v>2023-11-08</v>
      </c>
    </row>
    <row r="351" spans="1:5" x14ac:dyDescent="0.3">
      <c r="A351" t="s">
        <v>69</v>
      </c>
      <c r="B351" t="str">
        <f>_xlfn.TEXTBEFORE(_xlfn.TEXTAFTER(A351, "|", 1), "|", 1)</f>
        <v>A/Barred_Owl/BC/FAV-0015-21/2024</v>
      </c>
      <c r="C351" t="str">
        <f>LOWER(_xlfn.TEXTBEFORE(_xlfn.TEXTAFTER(B351, "/", 1), "/", 1))</f>
        <v>barred_owl</v>
      </c>
      <c r="D351" t="str">
        <f>_xlfn.TEXTBEFORE(_xlfn.TEXTAFTER(A351, "|", 3), "|", 1)</f>
        <v>Canada-BC</v>
      </c>
      <c r="E351" t="str">
        <f>_xlfn.TEXTBEFORE(_xlfn.TEXTAFTER(A351, "|", 4), "|", 1)</f>
        <v>2023-11-09</v>
      </c>
    </row>
    <row r="352" spans="1:5" x14ac:dyDescent="0.3">
      <c r="A352" t="s">
        <v>63</v>
      </c>
      <c r="B352" t="str">
        <f>_xlfn.TEXTBEFORE(_xlfn.TEXTAFTER(A352, "|", 1), "|", 1)</f>
        <v>A/Red-tailed_Hawk/BC/FAV-0015-22/2024</v>
      </c>
      <c r="C352" t="str">
        <f>LOWER(_xlfn.TEXTBEFORE(_xlfn.TEXTAFTER(B352, "/", 1), "/", 1))</f>
        <v>red-tailed_hawk</v>
      </c>
      <c r="D352" t="str">
        <f>_xlfn.TEXTBEFORE(_xlfn.TEXTAFTER(A352, "|", 3), "|", 1)</f>
        <v>Canada-BC</v>
      </c>
      <c r="E352" t="str">
        <f>_xlfn.TEXTBEFORE(_xlfn.TEXTAFTER(A352, "|", 4), "|", 1)</f>
        <v>2023-11-10</v>
      </c>
    </row>
    <row r="353" spans="1:5" x14ac:dyDescent="0.3">
      <c r="A353" t="s">
        <v>65</v>
      </c>
      <c r="B353" t="str">
        <f>_xlfn.TEXTBEFORE(_xlfn.TEXTAFTER(A353, "|", 1), "|", 1)</f>
        <v>A/Gull/BC/FAV-0015-48/2024</v>
      </c>
      <c r="C353" t="str">
        <f>LOWER(_xlfn.TEXTBEFORE(_xlfn.TEXTAFTER(B353, "/", 1), "/", 1))</f>
        <v>gull</v>
      </c>
      <c r="D353" t="str">
        <f>_xlfn.TEXTBEFORE(_xlfn.TEXTAFTER(A353, "|", 3), "|", 1)</f>
        <v>Canada-BC</v>
      </c>
      <c r="E353" t="str">
        <f>_xlfn.TEXTBEFORE(_xlfn.TEXTAFTER(A353, "|", 4), "|", 1)</f>
        <v>2023-11-14</v>
      </c>
    </row>
    <row r="354" spans="1:5" x14ac:dyDescent="0.3">
      <c r="A354" t="s">
        <v>70</v>
      </c>
      <c r="B354" t="str">
        <f>_xlfn.TEXTBEFORE(_xlfn.TEXTAFTER(A354, "|", 1), "|", 1)</f>
        <v>A/American_Wigeon/BC/FAV-0432-21/2023</v>
      </c>
      <c r="C354" t="str">
        <f>LOWER(_xlfn.TEXTBEFORE(_xlfn.TEXTAFTER(B354, "/", 1), "/", 1))</f>
        <v>american_wigeon</v>
      </c>
      <c r="D354" t="str">
        <f>_xlfn.TEXTBEFORE(_xlfn.TEXTAFTER(A354, "|", 3), "|", 1)</f>
        <v>Canada-BC</v>
      </c>
      <c r="E354" t="str">
        <f>_xlfn.TEXTBEFORE(_xlfn.TEXTAFTER(A354, "|", 4), "|", 1)</f>
        <v>2023-11-14</v>
      </c>
    </row>
    <row r="355" spans="1:5" x14ac:dyDescent="0.3">
      <c r="A355" t="s">
        <v>72</v>
      </c>
      <c r="B355" t="str">
        <f>_xlfn.TEXTBEFORE(_xlfn.TEXTAFTER(A355, "|", 1), "|", 1)</f>
        <v>A/American_Wigeon/BC/FAV-0432-22/2023</v>
      </c>
      <c r="C355" t="str">
        <f>LOWER(_xlfn.TEXTBEFORE(_xlfn.TEXTAFTER(B355, "/", 1), "/", 1))</f>
        <v>american_wigeon</v>
      </c>
      <c r="D355" t="str">
        <f>_xlfn.TEXTBEFORE(_xlfn.TEXTAFTER(A355, "|", 3), "|", 1)</f>
        <v>Canada-BC</v>
      </c>
      <c r="E355" t="str">
        <f>_xlfn.TEXTBEFORE(_xlfn.TEXTAFTER(A355, "|", 4), "|", 1)</f>
        <v>2023-11-14</v>
      </c>
    </row>
    <row r="356" spans="1:5" x14ac:dyDescent="0.3">
      <c r="A356" t="s">
        <v>108</v>
      </c>
      <c r="B356" t="str">
        <f>_xlfn.TEXTBEFORE(_xlfn.TEXTAFTER(A356, "|", 1), "|", 1)</f>
        <v>A/American_Wigeon/BC/AIVPHL-1410/2023</v>
      </c>
      <c r="C356" t="str">
        <f>LOWER(_xlfn.TEXTBEFORE(_xlfn.TEXTAFTER(B356, "/", 1), "/", 1))</f>
        <v>american_wigeon</v>
      </c>
      <c r="D356" t="str">
        <f>_xlfn.TEXTBEFORE(_xlfn.TEXTAFTER(A356, "|", 3), "|", 1)</f>
        <v>Canada-BC</v>
      </c>
      <c r="E356" t="str">
        <f>_xlfn.TEXTBEFORE(_xlfn.TEXTAFTER(A356, "|", 4), "|", 1)</f>
        <v>2023-11-14</v>
      </c>
    </row>
    <row r="357" spans="1:5" x14ac:dyDescent="0.3">
      <c r="A357" t="s">
        <v>128</v>
      </c>
      <c r="B357" t="str">
        <f>_xlfn.TEXTBEFORE(_xlfn.TEXTAFTER(A357, "|", 1), "|", 1)</f>
        <v>A/American_Wigeon/BC/AIVPHL-1411/2023</v>
      </c>
      <c r="C357" t="str">
        <f>LOWER(_xlfn.TEXTBEFORE(_xlfn.TEXTAFTER(B357, "/", 1), "/", 1))</f>
        <v>american_wigeon</v>
      </c>
      <c r="D357" t="str">
        <f>_xlfn.TEXTBEFORE(_xlfn.TEXTAFTER(A357, "|", 3), "|", 1)</f>
        <v>Canada-BC</v>
      </c>
      <c r="E357" t="str">
        <f>_xlfn.TEXTBEFORE(_xlfn.TEXTAFTER(A357, "|", 4), "|", 1)</f>
        <v>2023-11-14</v>
      </c>
    </row>
    <row r="358" spans="1:5" x14ac:dyDescent="0.3">
      <c r="A358" t="s">
        <v>80</v>
      </c>
      <c r="B358" t="str">
        <f>_xlfn.TEXTBEFORE(_xlfn.TEXTAFTER(A358, "|", 1), "|", 1)</f>
        <v>A/Turkey/BC/FAV-0386-1/2023</v>
      </c>
      <c r="C358" t="str">
        <f>LOWER(_xlfn.TEXTBEFORE(_xlfn.TEXTAFTER(B358, "/", 1), "/", 1))</f>
        <v>turkey</v>
      </c>
      <c r="D358" t="str">
        <f>_xlfn.TEXTBEFORE(_xlfn.TEXTAFTER(A358, "|", 3), "|", 1)</f>
        <v>Canada-BC</v>
      </c>
      <c r="E358" t="str">
        <f>_xlfn.TEXTBEFORE(_xlfn.TEXTAFTER(A358, "|", 4), "|", 1)</f>
        <v>2023-11-16</v>
      </c>
    </row>
    <row r="359" spans="1:5" x14ac:dyDescent="0.3">
      <c r="A359" t="s">
        <v>87</v>
      </c>
      <c r="B359" t="str">
        <f>_xlfn.TEXTBEFORE(_xlfn.TEXTAFTER(A359, "|", 1), "|", 1)</f>
        <v>A/Turkey/BC/FAV-0386-2/2023</v>
      </c>
      <c r="C359" t="str">
        <f>LOWER(_xlfn.TEXTBEFORE(_xlfn.TEXTAFTER(B359, "/", 1), "/", 1))</f>
        <v>turkey</v>
      </c>
      <c r="D359" t="str">
        <f>_xlfn.TEXTBEFORE(_xlfn.TEXTAFTER(A359, "|", 3), "|", 1)</f>
        <v>Canada-BC</v>
      </c>
      <c r="E359" t="str">
        <f>_xlfn.TEXTBEFORE(_xlfn.TEXTAFTER(A359, "|", 4), "|", 1)</f>
        <v>2023-11-16</v>
      </c>
    </row>
    <row r="360" spans="1:5" x14ac:dyDescent="0.3">
      <c r="A360" t="s">
        <v>71</v>
      </c>
      <c r="B360" t="str">
        <f>_xlfn.TEXTBEFORE(_xlfn.TEXTAFTER(A360, "|", 1), "|", 1)</f>
        <v>A/Peregrine_Falcon/BC/FAV-0015-46/2024</v>
      </c>
      <c r="C360" t="str">
        <f>LOWER(_xlfn.TEXTBEFORE(_xlfn.TEXTAFTER(B360, "/", 1), "/", 1))</f>
        <v>peregrine_falcon</v>
      </c>
      <c r="D360" t="str">
        <f>_xlfn.TEXTBEFORE(_xlfn.TEXTAFTER(A360, "|", 3), "|", 1)</f>
        <v>Canada-BC</v>
      </c>
      <c r="E360" t="str">
        <f>_xlfn.TEXTBEFORE(_xlfn.TEXTAFTER(A360, "|", 4), "|", 1)</f>
        <v>2023-11-19</v>
      </c>
    </row>
    <row r="361" spans="1:5" x14ac:dyDescent="0.3">
      <c r="A361" t="s">
        <v>106</v>
      </c>
      <c r="B361" t="str">
        <f>_xlfn.TEXTBEFORE(_xlfn.TEXTAFTER(A361, "|", 1), "|", 1)</f>
        <v>A/Great_Blue_Heron/BC/AIVPHL-1417/2023</v>
      </c>
      <c r="C361" t="str">
        <f>LOWER(_xlfn.TEXTBEFORE(_xlfn.TEXTAFTER(B361, "/", 1), "/", 1))</f>
        <v>great_blue_heron</v>
      </c>
      <c r="D361" t="str">
        <f>_xlfn.TEXTBEFORE(_xlfn.TEXTAFTER(A361, "|", 3), "|", 1)</f>
        <v>Canada-BC</v>
      </c>
      <c r="E361" t="str">
        <f>_xlfn.TEXTBEFORE(_xlfn.TEXTAFTER(A361, "|", 4), "|", 1)</f>
        <v>2023-11-20</v>
      </c>
    </row>
    <row r="362" spans="1:5" x14ac:dyDescent="0.3">
      <c r="A362" t="s">
        <v>107</v>
      </c>
      <c r="B362" t="str">
        <f>_xlfn.TEXTBEFORE(_xlfn.TEXTAFTER(A362, "|", 1), "|", 1)</f>
        <v>A/Glaucous_Winged_Gull/BC/AIVPHL-1426/2023</v>
      </c>
      <c r="C362" t="str">
        <f>LOWER(_xlfn.TEXTBEFORE(_xlfn.TEXTAFTER(B362, "/", 1), "/", 1))</f>
        <v>glaucous_winged_gull</v>
      </c>
      <c r="D362" t="str">
        <f>_xlfn.TEXTBEFORE(_xlfn.TEXTAFTER(A362, "|", 3), "|", 1)</f>
        <v>Canada-BC</v>
      </c>
      <c r="E362" t="str">
        <f>_xlfn.TEXTBEFORE(_xlfn.TEXTAFTER(A362, "|", 4), "|", 1)</f>
        <v>2023-11-20</v>
      </c>
    </row>
    <row r="363" spans="1:5" x14ac:dyDescent="0.3">
      <c r="A363" t="s">
        <v>113</v>
      </c>
      <c r="B363" t="str">
        <f>_xlfn.TEXTBEFORE(_xlfn.TEXTAFTER(A363, "|", 1), "|", 1)</f>
        <v>A/American_Wigeon/BC/AIVPHL-1420/2023</v>
      </c>
      <c r="C363" t="str">
        <f>LOWER(_xlfn.TEXTBEFORE(_xlfn.TEXTAFTER(B363, "/", 1), "/", 1))</f>
        <v>american_wigeon</v>
      </c>
      <c r="D363" t="str">
        <f>_xlfn.TEXTBEFORE(_xlfn.TEXTAFTER(A363, "|", 3), "|", 1)</f>
        <v>Canada-BC</v>
      </c>
      <c r="E363" t="str">
        <f>_xlfn.TEXTBEFORE(_xlfn.TEXTAFTER(A363, "|", 4), "|", 1)</f>
        <v>2023-11-20</v>
      </c>
    </row>
    <row r="364" spans="1:5" x14ac:dyDescent="0.3">
      <c r="A364" t="s">
        <v>132</v>
      </c>
      <c r="B364" t="str">
        <f>_xlfn.TEXTBEFORE(_xlfn.TEXTAFTER(A364, "|", 1), "|", 1)</f>
        <v>A/Canada_Goose/BC/AIVPHL-1443/2023</v>
      </c>
      <c r="C364" t="str">
        <f>LOWER(_xlfn.TEXTBEFORE(_xlfn.TEXTAFTER(B364, "/", 1), "/", 1))</f>
        <v>canada_goose</v>
      </c>
      <c r="D364" t="str">
        <f>_xlfn.TEXTBEFORE(_xlfn.TEXTAFTER(A364, "|", 3), "|", 1)</f>
        <v>Canada-BC</v>
      </c>
      <c r="E364" t="str">
        <f>_xlfn.TEXTBEFORE(_xlfn.TEXTAFTER(A364, "|", 4), "|", 1)</f>
        <v>2023-11-24</v>
      </c>
    </row>
    <row r="365" spans="1:5" x14ac:dyDescent="0.3">
      <c r="A365" t="s">
        <v>123</v>
      </c>
      <c r="B365" t="str">
        <f>_xlfn.TEXTBEFORE(_xlfn.TEXTAFTER(A365, "|", 1), "|", 1)</f>
        <v>A/Red_Tailed_Hawk/BC/AIVPHL-1450/2023</v>
      </c>
      <c r="C365" t="str">
        <f>LOWER(_xlfn.TEXTBEFORE(_xlfn.TEXTAFTER(B365, "/", 1), "/", 1))</f>
        <v>red_tailed_hawk</v>
      </c>
      <c r="D365" t="str">
        <f>_xlfn.TEXTBEFORE(_xlfn.TEXTAFTER(A365, "|", 3), "|", 1)</f>
        <v>Canada-BC</v>
      </c>
      <c r="E365" t="str">
        <f>_xlfn.TEXTBEFORE(_xlfn.TEXTAFTER(A365, "|", 4), "|", 1)</f>
        <v>2023-11-27</v>
      </c>
    </row>
    <row r="366" spans="1:5" x14ac:dyDescent="0.3">
      <c r="A366" t="s">
        <v>140</v>
      </c>
      <c r="B366" t="str">
        <f>_xlfn.TEXTBEFORE(_xlfn.TEXTAFTER(A366, "|", 1), "|", 1)</f>
        <v>A/domestic_goose/California/23-037681-002/2023</v>
      </c>
      <c r="C366" t="str">
        <f>LOWER(_xlfn.TEXTBEFORE(_xlfn.TEXTAFTER(B366, "/", 1), "/", 1))</f>
        <v>domestic_goose</v>
      </c>
      <c r="D366" t="str">
        <f>_xlfn.TEXTBEFORE(_xlfn.TEXTAFTER(A366, "|", 3), "|", 1)</f>
        <v>USA-CA</v>
      </c>
      <c r="E366" t="str">
        <f>_xlfn.TEXTBEFORE(_xlfn.TEXTAFTER(A366, "|", 4), "|", 1)</f>
        <v>2023-11-28</v>
      </c>
    </row>
    <row r="367" spans="1:5" x14ac:dyDescent="0.3">
      <c r="A367" t="s">
        <v>141</v>
      </c>
      <c r="B367" t="str">
        <f>_xlfn.TEXTBEFORE(_xlfn.TEXTAFTER(A367, "|", 1), "|", 1)</f>
        <v>A/domestic_goose/California/23-037845-006/2023</v>
      </c>
      <c r="C367" t="str">
        <f>LOWER(_xlfn.TEXTBEFORE(_xlfn.TEXTAFTER(B367, "/", 1), "/", 1))</f>
        <v>domestic_goose</v>
      </c>
      <c r="D367" t="str">
        <f>_xlfn.TEXTBEFORE(_xlfn.TEXTAFTER(A367, "|", 3), "|", 1)</f>
        <v>USA-CA</v>
      </c>
      <c r="E367" t="str">
        <f>_xlfn.TEXTBEFORE(_xlfn.TEXTAFTER(A367, "|", 4), "|", 1)</f>
        <v>2023-11-28</v>
      </c>
    </row>
    <row r="368" spans="1:5" x14ac:dyDescent="0.3">
      <c r="A368" t="s">
        <v>142</v>
      </c>
      <c r="B368" t="str">
        <f>_xlfn.TEXTBEFORE(_xlfn.TEXTAFTER(A368, "|", 1), "|", 1)</f>
        <v>A/domestic_duck/California/23-037845-002/2023</v>
      </c>
      <c r="C368" t="str">
        <f>LOWER(_xlfn.TEXTBEFORE(_xlfn.TEXTAFTER(B368, "/", 1), "/", 1))</f>
        <v>domestic_duck</v>
      </c>
      <c r="D368" t="str">
        <f>_xlfn.TEXTBEFORE(_xlfn.TEXTAFTER(A368, "|", 3), "|", 1)</f>
        <v>USA-CA</v>
      </c>
      <c r="E368" t="str">
        <f>_xlfn.TEXTBEFORE(_xlfn.TEXTAFTER(A368, "|", 4), "|", 1)</f>
        <v>2023-11-28</v>
      </c>
    </row>
    <row r="369" spans="1:5" x14ac:dyDescent="0.3">
      <c r="A369" t="s">
        <v>143</v>
      </c>
      <c r="B369" t="str">
        <f>_xlfn.TEXTBEFORE(_xlfn.TEXTAFTER(A369, "|", 1), "|", 1)</f>
        <v>A/domestic_duck/California/23-037681-001/2023</v>
      </c>
      <c r="C369" t="str">
        <f>LOWER(_xlfn.TEXTBEFORE(_xlfn.TEXTAFTER(B369, "/", 1), "/", 1))</f>
        <v>domestic_duck</v>
      </c>
      <c r="D369" t="str">
        <f>_xlfn.TEXTBEFORE(_xlfn.TEXTAFTER(A369, "|", 3), "|", 1)</f>
        <v>USA-CA</v>
      </c>
      <c r="E369" t="str">
        <f>_xlfn.TEXTBEFORE(_xlfn.TEXTAFTER(A369, "|", 4), "|", 1)</f>
        <v>2023-11-28</v>
      </c>
    </row>
    <row r="370" spans="1:5" x14ac:dyDescent="0.3">
      <c r="A370" t="s">
        <v>66</v>
      </c>
      <c r="B370" t="str">
        <f>_xlfn.TEXTBEFORE(_xlfn.TEXTAFTER(A370, "|", 1), "|", 1)</f>
        <v>A/Coopers_Hawk/BC/FAV-0015-45/2024</v>
      </c>
      <c r="C370" t="str">
        <f>LOWER(_xlfn.TEXTBEFORE(_xlfn.TEXTAFTER(B370, "/", 1), "/", 1))</f>
        <v>coopers_hawk</v>
      </c>
      <c r="D370" t="str">
        <f>_xlfn.TEXTBEFORE(_xlfn.TEXTAFTER(A370, "|", 3), "|", 1)</f>
        <v>Canada-BC</v>
      </c>
      <c r="E370" t="str">
        <f>_xlfn.TEXTBEFORE(_xlfn.TEXTAFTER(A370, "|", 4), "|", 1)</f>
        <v>2023-11-29</v>
      </c>
    </row>
    <row r="371" spans="1:5" x14ac:dyDescent="0.3">
      <c r="A371" t="s">
        <v>74</v>
      </c>
      <c r="B371" t="str">
        <f>_xlfn.TEXTBEFORE(_xlfn.TEXTAFTER(A371, "|", 1), "|", 1)</f>
        <v>A/Barred_Owl/BC/FAV-0015-44/2024</v>
      </c>
      <c r="C371" t="str">
        <f>LOWER(_xlfn.TEXTBEFORE(_xlfn.TEXTAFTER(B371, "/", 1), "/", 1))</f>
        <v>barred_owl</v>
      </c>
      <c r="D371" t="str">
        <f>_xlfn.TEXTBEFORE(_xlfn.TEXTAFTER(A371, "|", 3), "|", 1)</f>
        <v>Canada-BC</v>
      </c>
      <c r="E371" t="str">
        <f>_xlfn.TEXTBEFORE(_xlfn.TEXTAFTER(A371, "|", 4), "|", 1)</f>
        <v>2023-11-29</v>
      </c>
    </row>
    <row r="372" spans="1:5" x14ac:dyDescent="0.3">
      <c r="A372" t="s">
        <v>67</v>
      </c>
      <c r="B372" t="str">
        <f>_xlfn.TEXTBEFORE(_xlfn.TEXTAFTER(A372, "|", 1), "|", 1)</f>
        <v>A/Great_Horned_Owl/AB/FAV-0046-1/2024</v>
      </c>
      <c r="C372" t="str">
        <f>LOWER(_xlfn.TEXTBEFORE(_xlfn.TEXTAFTER(B372, "/", 1), "/", 1))</f>
        <v>great_horned_owl</v>
      </c>
      <c r="D372" t="str">
        <f>_xlfn.TEXTBEFORE(_xlfn.TEXTAFTER(A372, "|", 3), "|", 1)</f>
        <v>Canada-AB</v>
      </c>
      <c r="E372" t="str">
        <f>_xlfn.TEXTBEFORE(_xlfn.TEXTAFTER(A372, "|", 4), "|", 1)</f>
        <v>2023-12-01</v>
      </c>
    </row>
    <row r="373" spans="1:5" x14ac:dyDescent="0.3">
      <c r="A373" t="s">
        <v>76</v>
      </c>
      <c r="B373" t="str">
        <f>_xlfn.TEXTBEFORE(_xlfn.TEXTAFTER(A373, "|", 1), "|", 1)</f>
        <v>A/Chicken/BC/FAV-0437-2/2023</v>
      </c>
      <c r="C373" t="str">
        <f>LOWER(_xlfn.TEXTBEFORE(_xlfn.TEXTAFTER(B373, "/", 1), "/", 1))</f>
        <v>chicken</v>
      </c>
      <c r="D373" t="str">
        <f>_xlfn.TEXTBEFORE(_xlfn.TEXTAFTER(A373, "|", 3), "|", 1)</f>
        <v>Canada-BC</v>
      </c>
      <c r="E373" t="str">
        <f>_xlfn.TEXTBEFORE(_xlfn.TEXTAFTER(A373, "|", 4), "|", 1)</f>
        <v>2023-12-07</v>
      </c>
    </row>
    <row r="374" spans="1:5" x14ac:dyDescent="0.3">
      <c r="A374" t="s">
        <v>83</v>
      </c>
      <c r="B374" t="str">
        <f>_xlfn.TEXTBEFORE(_xlfn.TEXTAFTER(A374, "|", 1), "|", 1)</f>
        <v>A/Chicken/BC/FAV-0437-1/2023</v>
      </c>
      <c r="C374" t="str">
        <f>LOWER(_xlfn.TEXTBEFORE(_xlfn.TEXTAFTER(B374, "/", 1), "/", 1))</f>
        <v>chicken</v>
      </c>
      <c r="D374" t="str">
        <f>_xlfn.TEXTBEFORE(_xlfn.TEXTAFTER(A374, "|", 3), "|", 1)</f>
        <v>Canada-BC</v>
      </c>
      <c r="E374" t="str">
        <f>_xlfn.TEXTBEFORE(_xlfn.TEXTAFTER(A374, "|", 4), "|", 1)</f>
        <v>2023-12-07</v>
      </c>
    </row>
    <row r="375" spans="1:5" x14ac:dyDescent="0.3">
      <c r="A375" t="s">
        <v>104</v>
      </c>
      <c r="B375" t="str">
        <f>_xlfn.TEXTBEFORE(_xlfn.TEXTAFTER(A375, "|", 1), "|", 1)</f>
        <v>A/Mallard/BC/AIVPHL-1484/2023</v>
      </c>
      <c r="C375" t="str">
        <f>LOWER(_xlfn.TEXTBEFORE(_xlfn.TEXTAFTER(B375, "/", 1), "/", 1))</f>
        <v>mallard</v>
      </c>
      <c r="D375" t="str">
        <f>_xlfn.TEXTBEFORE(_xlfn.TEXTAFTER(A375, "|", 3), "|", 1)</f>
        <v>Canada-BC</v>
      </c>
      <c r="E375" t="str">
        <f>_xlfn.TEXTBEFORE(_xlfn.TEXTAFTER(A375, "|", 4), "|", 1)</f>
        <v>2023-12-08</v>
      </c>
    </row>
    <row r="376" spans="1:5" x14ac:dyDescent="0.3">
      <c r="A376" t="s">
        <v>6</v>
      </c>
      <c r="B376" t="str">
        <f>_xlfn.TEXTBEFORE(_xlfn.TEXTAFTER(A376, "|", 1), "|", 1)</f>
        <v>A/Barred_Owl/BC/AIVPHL-1538/2023</v>
      </c>
      <c r="C376" t="str">
        <f>LOWER(_xlfn.TEXTBEFORE(_xlfn.TEXTAFTER(B376, "/", 1), "/", 1))</f>
        <v>barred_owl</v>
      </c>
      <c r="D376" t="str">
        <f>_xlfn.TEXTBEFORE(_xlfn.TEXTAFTER(A376, "|", 3), "|", 1)</f>
        <v>Canada-BC</v>
      </c>
      <c r="E376" t="str">
        <f>_xlfn.TEXTBEFORE(_xlfn.TEXTAFTER(A376, "|", 4), "|", 1)</f>
        <v>2023-12-11</v>
      </c>
    </row>
    <row r="377" spans="1:5" x14ac:dyDescent="0.3">
      <c r="A377" t="s">
        <v>125</v>
      </c>
      <c r="B377" t="str">
        <f>_xlfn.TEXTBEFORE(_xlfn.TEXTAFTER(A377, "|", 1), "|", 1)</f>
        <v>A/Cooper_s_Hawk/BC/AIVPHL-1498/2023</v>
      </c>
      <c r="C377" t="str">
        <f>LOWER(_xlfn.TEXTBEFORE(_xlfn.TEXTAFTER(B377, "/", 1), "/", 1))</f>
        <v>cooper_s_hawk</v>
      </c>
      <c r="D377" t="str">
        <f>_xlfn.TEXTBEFORE(_xlfn.TEXTAFTER(A377, "|", 3), "|", 1)</f>
        <v>Canada-BC</v>
      </c>
      <c r="E377" t="str">
        <f>_xlfn.TEXTBEFORE(_xlfn.TEXTAFTER(A377, "|", 4), "|", 1)</f>
        <v>2023-12-11</v>
      </c>
    </row>
    <row r="378" spans="1:5" x14ac:dyDescent="0.3">
      <c r="A378" t="s">
        <v>126</v>
      </c>
      <c r="B378" t="str">
        <f>_xlfn.TEXTBEFORE(_xlfn.TEXTAFTER(A378, "|", 1), "|", 1)</f>
        <v>A/Peregrine_Falcon/BC/AIVPHL-1499/2023</v>
      </c>
      <c r="C378" t="str">
        <f>LOWER(_xlfn.TEXTBEFORE(_xlfn.TEXTAFTER(B378, "/", 1), "/", 1))</f>
        <v>peregrine_falcon</v>
      </c>
      <c r="D378" t="str">
        <f>_xlfn.TEXTBEFORE(_xlfn.TEXTAFTER(A378, "|", 3), "|", 1)</f>
        <v>Canada-BC</v>
      </c>
      <c r="E378" t="str">
        <f>_xlfn.TEXTBEFORE(_xlfn.TEXTAFTER(A378, "|", 4), "|", 1)</f>
        <v>2023-12-11</v>
      </c>
    </row>
    <row r="379" spans="1:5" x14ac:dyDescent="0.3">
      <c r="A379" t="s">
        <v>139</v>
      </c>
      <c r="B379" t="str">
        <f>_xlfn.TEXTBEFORE(_xlfn.TEXTAFTER(A379, "|", 1), "|", 1)</f>
        <v>A/chicken/Oregon/23-039384-001-original/2023</v>
      </c>
      <c r="C379" t="str">
        <f>LOWER(_xlfn.TEXTBEFORE(_xlfn.TEXTAFTER(B379, "/", 1), "/", 1))</f>
        <v>chicken</v>
      </c>
      <c r="D379" t="str">
        <f>_xlfn.TEXTBEFORE(_xlfn.TEXTAFTER(A379, "|", 3), "|", 1)</f>
        <v>USA-OR</v>
      </c>
      <c r="E379" t="str">
        <f>_xlfn.TEXTBEFORE(_xlfn.TEXTAFTER(A379, "|", 4), "|", 1)</f>
        <v>2023-12-12</v>
      </c>
    </row>
    <row r="380" spans="1:5" x14ac:dyDescent="0.3">
      <c r="A380" t="s">
        <v>9</v>
      </c>
      <c r="B380" t="str">
        <f>_xlfn.TEXTBEFORE(_xlfn.TEXTAFTER(A380, "|", 1), "|", 1)</f>
        <v>A/Gull_Spp./BC/AIVPHL-1547/2023</v>
      </c>
      <c r="C380" t="str">
        <f>LOWER(_xlfn.TEXTBEFORE(_xlfn.TEXTAFTER(B380, "/", 1), "/", 1))</f>
        <v>gull_spp.</v>
      </c>
      <c r="D380" t="str">
        <f>_xlfn.TEXTBEFORE(_xlfn.TEXTAFTER(A380, "|", 3), "|", 1)</f>
        <v>Canada-BC</v>
      </c>
      <c r="E380" t="str">
        <f>_xlfn.TEXTBEFORE(_xlfn.TEXTAFTER(A380, "|", 4), "|", 1)</f>
        <v>2023-12-15</v>
      </c>
    </row>
    <row r="381" spans="1:5" x14ac:dyDescent="0.3">
      <c r="A381" t="s">
        <v>12</v>
      </c>
      <c r="B381" t="str">
        <f>_xlfn.TEXTBEFORE(_xlfn.TEXTAFTER(A381, "|", 1), "|", 1)</f>
        <v>A/Peregrine_Falcon/BC/AIVPHL-1550/2023</v>
      </c>
      <c r="C381" t="str">
        <f>LOWER(_xlfn.TEXTBEFORE(_xlfn.TEXTAFTER(B381, "/", 1), "/", 1))</f>
        <v>peregrine_falcon</v>
      </c>
      <c r="D381" t="str">
        <f>_xlfn.TEXTBEFORE(_xlfn.TEXTAFTER(A381, "|", 3), "|", 1)</f>
        <v>Canada-BC</v>
      </c>
      <c r="E381" t="str">
        <f>_xlfn.TEXTBEFORE(_xlfn.TEXTAFTER(A381, "|", 4), "|", 1)</f>
        <v>2023-12-15</v>
      </c>
    </row>
    <row r="382" spans="1:5" x14ac:dyDescent="0.3">
      <c r="A382" t="s">
        <v>8</v>
      </c>
      <c r="B382" t="str">
        <f>_xlfn.TEXTBEFORE(_xlfn.TEXTAFTER(A382, "|", 1), "|", 1)</f>
        <v>A/Trumpeter_Swan/BC/AIVPHL-1560/2023</v>
      </c>
      <c r="C382" t="str">
        <f>LOWER(_xlfn.TEXTBEFORE(_xlfn.TEXTAFTER(B382, "/", 1), "/", 1))</f>
        <v>trumpeter_swan</v>
      </c>
      <c r="D382" t="str">
        <f>_xlfn.TEXTBEFORE(_xlfn.TEXTAFTER(A382, "|", 3), "|", 1)</f>
        <v>Canada-BC</v>
      </c>
      <c r="E382" t="str">
        <f>_xlfn.TEXTBEFORE(_xlfn.TEXTAFTER(A382, "|", 4), "|", 1)</f>
        <v>2023-12-18</v>
      </c>
    </row>
    <row r="383" spans="1:5" x14ac:dyDescent="0.3">
      <c r="A383" t="s">
        <v>11</v>
      </c>
      <c r="B383" t="str">
        <f>_xlfn.TEXTBEFORE(_xlfn.TEXTAFTER(A383, "|", 1), "|", 1)</f>
        <v>A/Cackling_Goose/BC/AIVPHL-1690/2024</v>
      </c>
      <c r="C383" t="str">
        <f>LOWER(_xlfn.TEXTBEFORE(_xlfn.TEXTAFTER(B383, "/", 1), "/", 1))</f>
        <v>cackling_goose</v>
      </c>
      <c r="D383" t="str">
        <f>_xlfn.TEXTBEFORE(_xlfn.TEXTAFTER(A383, "|", 3), "|", 1)</f>
        <v>Canada-BC</v>
      </c>
      <c r="E383" t="str">
        <f>_xlfn.TEXTBEFORE(_xlfn.TEXTAFTER(A383, "|", 4), "|", 1)</f>
        <v>2024-01-05</v>
      </c>
    </row>
    <row r="384" spans="1:5" x14ac:dyDescent="0.3">
      <c r="A384" t="s">
        <v>64</v>
      </c>
      <c r="B384" t="str">
        <f>_xlfn.TEXTBEFORE(_xlfn.TEXTAFTER(A384, "|", 1), "|", 1)</f>
        <v>A/Cackling_Goose/BC/OTH-0049-4/2024</v>
      </c>
      <c r="C384" t="str">
        <f>LOWER(_xlfn.TEXTBEFORE(_xlfn.TEXTAFTER(B384, "/", 1), "/", 1))</f>
        <v>cackling_goose</v>
      </c>
      <c r="D384" t="str">
        <f>_xlfn.TEXTBEFORE(_xlfn.TEXTAFTER(A384, "|", 3), "|", 1)</f>
        <v>Canada-BC</v>
      </c>
      <c r="E384" t="str">
        <f>_xlfn.TEXTBEFORE(_xlfn.TEXTAFTER(A384, "|", 4), "|", 1)</f>
        <v>2024-01-05</v>
      </c>
    </row>
    <row r="385" spans="1:5" x14ac:dyDescent="0.3">
      <c r="A385" t="s">
        <v>7</v>
      </c>
      <c r="B385" t="str">
        <f>_xlfn.TEXTBEFORE(_xlfn.TEXTAFTER(A385, "|", 1), "|", 1)</f>
        <v>A/Barred_Owl/BC/AIVPHL-1810/2024</v>
      </c>
      <c r="C385" t="str">
        <f>LOWER(_xlfn.TEXTBEFORE(_xlfn.TEXTAFTER(B385, "/", 1), "/", 1))</f>
        <v>barred_owl</v>
      </c>
      <c r="D385" t="str">
        <f>_xlfn.TEXTBEFORE(_xlfn.TEXTAFTER(A385, "|", 3), "|", 1)</f>
        <v>Canada-BC</v>
      </c>
      <c r="E385" t="str">
        <f>_xlfn.TEXTBEFORE(_xlfn.TEXTAFTER(A385, "|", 4), "|", 1)</f>
        <v>2024-01-12</v>
      </c>
    </row>
    <row r="386" spans="1:5" x14ac:dyDescent="0.3">
      <c r="A386" t="s">
        <v>73</v>
      </c>
      <c r="B386" t="str">
        <f>_xlfn.TEXTBEFORE(_xlfn.TEXTAFTER(A386, "|", 1), "|", 1)</f>
        <v>A/Bald_Eagle/BC/OTH-0049-9/2024</v>
      </c>
      <c r="C386" t="str">
        <f>LOWER(_xlfn.TEXTBEFORE(_xlfn.TEXTAFTER(B386, "/", 1), "/", 1))</f>
        <v>bald_eagle</v>
      </c>
      <c r="D386" t="str">
        <f>_xlfn.TEXTBEFORE(_xlfn.TEXTAFTER(A386, "|", 3), "|", 1)</f>
        <v>Canada-BC</v>
      </c>
      <c r="E386" t="str">
        <f>_xlfn.TEXTBEFORE(_xlfn.TEXTAFTER(A386, "|", 4), "|", 1)</f>
        <v>2024-01-20</v>
      </c>
    </row>
    <row r="387" spans="1:5" x14ac:dyDescent="0.3">
      <c r="A387" t="s">
        <v>68</v>
      </c>
      <c r="B387" t="str">
        <f>_xlfn.TEXTBEFORE(_xlfn.TEXTAFTER(A387, "|", 1), "|", 1)</f>
        <v>A/Great_Horned_Owl/BC/OTH-0049-13/2024</v>
      </c>
      <c r="C387" t="str">
        <f>LOWER(_xlfn.TEXTBEFORE(_xlfn.TEXTAFTER(B387, "/", 1), "/", 1))</f>
        <v>great_horned_owl</v>
      </c>
      <c r="D387" t="str">
        <f>_xlfn.TEXTBEFORE(_xlfn.TEXTAFTER(A387, "|", 3), "|", 1)</f>
        <v>Canada-BC</v>
      </c>
      <c r="E387" t="str">
        <f>_xlfn.TEXTBEFORE(_xlfn.TEXTAFTER(A387, "|", 4), "|", 1)</f>
        <v>2024-01-25</v>
      </c>
    </row>
    <row r="388" spans="1:5" x14ac:dyDescent="0.3">
      <c r="A388" t="s">
        <v>89</v>
      </c>
      <c r="B388" t="str">
        <f>_xlfn.TEXTBEFORE(_xlfn.TEXTAFTER(A388, "|", 1), "|", 1)</f>
        <v>A/Green-Winged_Teal/BC/OTH-0049-16/2024</v>
      </c>
      <c r="C388" t="str">
        <f>LOWER(_xlfn.TEXTBEFORE(_xlfn.TEXTAFTER(B388, "/", 1), "/", 1))</f>
        <v>green-winged_teal</v>
      </c>
      <c r="D388" t="str">
        <f>_xlfn.TEXTBEFORE(_xlfn.TEXTAFTER(A388, "|", 3), "|", 1)</f>
        <v>Canada-BC</v>
      </c>
      <c r="E388" t="str">
        <f>_xlfn.TEXTBEFORE(_xlfn.TEXTAFTER(A388, "|", 4), "|", 1)</f>
        <v>2024-02-02</v>
      </c>
    </row>
    <row r="389" spans="1:5" x14ac:dyDescent="0.3">
      <c r="A389" t="s">
        <v>3</v>
      </c>
      <c r="B389" t="str">
        <f>_xlfn.TEXTBEFORE(_xlfn.TEXTAFTER(A389, "|", 1), "|", 1)</f>
        <v>A/Dunlin/BC/AIVPHL-2052/2024</v>
      </c>
      <c r="C389" t="str">
        <f>LOWER(_xlfn.TEXTBEFORE(_xlfn.TEXTAFTER(B389, "/", 1), "/", 1))</f>
        <v>dunlin</v>
      </c>
      <c r="D389" t="str">
        <f>_xlfn.TEXTBEFORE(_xlfn.TEXTAFTER(A389, "|", 3), "|", 1)</f>
        <v>Canada-BC</v>
      </c>
      <c r="E389" t="str">
        <f>_xlfn.TEXTBEFORE(_xlfn.TEXTAFTER(A389, "|", 4), "|", 1)</f>
        <v>2024-02-26</v>
      </c>
    </row>
    <row r="390" spans="1:5" x14ac:dyDescent="0.3">
      <c r="A390" t="s">
        <v>10</v>
      </c>
      <c r="B390" t="str">
        <f>_xlfn.TEXTBEFORE(_xlfn.TEXTAFTER(A390, "|", 1), "|", 1)</f>
        <v>A/Dunlin/BC/AIVPHL-2053/2024</v>
      </c>
      <c r="C390" t="str">
        <f>LOWER(_xlfn.TEXTBEFORE(_xlfn.TEXTAFTER(B390, "/", 1), "/", 1))</f>
        <v>dunlin</v>
      </c>
      <c r="D390" t="str">
        <f>_xlfn.TEXTBEFORE(_xlfn.TEXTAFTER(A390, "|", 3), "|", 1)</f>
        <v>Canada-BC</v>
      </c>
      <c r="E390" t="str">
        <f>_xlfn.TEXTBEFORE(_xlfn.TEXTAFTER(A390, "|", 4), "|", 1)</f>
        <v>2024-02-26</v>
      </c>
    </row>
    <row r="391" spans="1:5" x14ac:dyDescent="0.3">
      <c r="A391" t="s">
        <v>45</v>
      </c>
      <c r="B391" t="str">
        <f>_xlfn.TEXTBEFORE(_xlfn.TEXTAFTER(A391, "|", 1), "|", 1)</f>
        <v>A/Dunlin/BC/OTH-0049-24/2024</v>
      </c>
      <c r="C391" t="str">
        <f>LOWER(_xlfn.TEXTBEFORE(_xlfn.TEXTAFTER(B391, "/", 1), "/", 1))</f>
        <v>dunlin</v>
      </c>
      <c r="D391" t="str">
        <f>_xlfn.TEXTBEFORE(_xlfn.TEXTAFTER(A391, "|", 3), "|", 1)</f>
        <v>Canada-BC</v>
      </c>
      <c r="E391" t="str">
        <f>_xlfn.TEXTBEFORE(_xlfn.TEXTAFTER(A391, "|", 4), "|", 1)</f>
        <v>2024-02-26</v>
      </c>
    </row>
    <row r="392" spans="1:5" x14ac:dyDescent="0.3">
      <c r="A392" t="s">
        <v>46</v>
      </c>
      <c r="B392" t="str">
        <f>_xlfn.TEXTBEFORE(_xlfn.TEXTAFTER(A392, "|", 1), "|", 1)</f>
        <v>A/Dunlin/BC/OTH-0049-23/2024</v>
      </c>
      <c r="C392" t="str">
        <f>LOWER(_xlfn.TEXTBEFORE(_xlfn.TEXTAFTER(B392, "/", 1), "/", 1))</f>
        <v>dunlin</v>
      </c>
      <c r="D392" t="str">
        <f>_xlfn.TEXTBEFORE(_xlfn.TEXTAFTER(A392, "|", 3), "|", 1)</f>
        <v>Canada-BC</v>
      </c>
      <c r="E392" t="str">
        <f>_xlfn.TEXTBEFORE(_xlfn.TEXTAFTER(A392, "|", 4), "|", 1)</f>
        <v>2024-02-26</v>
      </c>
    </row>
    <row r="393" spans="1:5" x14ac:dyDescent="0.3">
      <c r="A393" t="s">
        <v>47</v>
      </c>
      <c r="B393" t="str">
        <f>_xlfn.TEXTBEFORE(_xlfn.TEXTAFTER(A393, "|", 1), "|", 1)</f>
        <v>A/Dunlin/BC/OTH-0049-21/2024</v>
      </c>
      <c r="C393" t="str">
        <f>LOWER(_xlfn.TEXTBEFORE(_xlfn.TEXTAFTER(B393, "/", 1), "/", 1))</f>
        <v>dunlin</v>
      </c>
      <c r="D393" t="str">
        <f>_xlfn.TEXTBEFORE(_xlfn.TEXTAFTER(A393, "|", 3), "|", 1)</f>
        <v>Canada-BC</v>
      </c>
      <c r="E393" t="str">
        <f>_xlfn.TEXTBEFORE(_xlfn.TEXTAFTER(A393, "|", 4), "|", 1)</f>
        <v>2024-02-26</v>
      </c>
    </row>
    <row r="394" spans="1:5" x14ac:dyDescent="0.3">
      <c r="A394" t="s">
        <v>48</v>
      </c>
      <c r="B394" t="str">
        <f>_xlfn.TEXTBEFORE(_xlfn.TEXTAFTER(A394, "|", 1), "|", 1)</f>
        <v>A/Dunlin/BC/OTH-0049-22/2024</v>
      </c>
      <c r="C394" t="str">
        <f>LOWER(_xlfn.TEXTBEFORE(_xlfn.TEXTAFTER(B394, "/", 1), "/", 1))</f>
        <v>dunlin</v>
      </c>
      <c r="D394" t="str">
        <f>_xlfn.TEXTBEFORE(_xlfn.TEXTAFTER(A394, "|", 3), "|", 1)</f>
        <v>Canada-BC</v>
      </c>
      <c r="E394" t="str">
        <f>_xlfn.TEXTBEFORE(_xlfn.TEXTAFTER(A394, "|", 4), "|", 1)</f>
        <v>2024-02-26</v>
      </c>
    </row>
    <row r="395" spans="1:5" x14ac:dyDescent="0.3">
      <c r="A395" t="s">
        <v>59</v>
      </c>
      <c r="B395" t="str">
        <f>_xlfn.TEXTBEFORE(_xlfn.TEXTAFTER(A395, "|", 1), "|", 1)</f>
        <v>A/Dunlin/BC/OTH-0049-20/2024</v>
      </c>
      <c r="C395" t="str">
        <f>LOWER(_xlfn.TEXTBEFORE(_xlfn.TEXTAFTER(B395, "/", 1), "/", 1))</f>
        <v>dunlin</v>
      </c>
      <c r="D395" t="str">
        <f>_xlfn.TEXTBEFORE(_xlfn.TEXTAFTER(A395, "|", 3), "|", 1)</f>
        <v>Canada-BC</v>
      </c>
      <c r="E395" t="str">
        <f>_xlfn.TEXTBEFORE(_xlfn.TEXTAFTER(A395, "|", 4), "|", 1)</f>
        <v>2024-02-26</v>
      </c>
    </row>
    <row r="396" spans="1:5" x14ac:dyDescent="0.3">
      <c r="A396" t="s">
        <v>60</v>
      </c>
      <c r="B396" t="str">
        <f>_xlfn.TEXTBEFORE(_xlfn.TEXTAFTER(A396, "|", 1), "|", 1)</f>
        <v>A/Dunlin/BC/OTH-0049-19/2024</v>
      </c>
      <c r="C396" t="str">
        <f>LOWER(_xlfn.TEXTBEFORE(_xlfn.TEXTAFTER(B396, "/", 1), "/", 1))</f>
        <v>dunlin</v>
      </c>
      <c r="D396" t="str">
        <f>_xlfn.TEXTBEFORE(_xlfn.TEXTAFTER(A396, "|", 3), "|", 1)</f>
        <v>Canada-BC</v>
      </c>
      <c r="E396" t="str">
        <f>_xlfn.TEXTBEFORE(_xlfn.TEXTAFTER(A396, "|", 4), "|", 1)</f>
        <v>2024-02-26</v>
      </c>
    </row>
    <row r="397" spans="1:5" x14ac:dyDescent="0.3">
      <c r="A397" t="s">
        <v>5</v>
      </c>
      <c r="B397" t="str">
        <f>_xlfn.TEXTBEFORE(_xlfn.TEXTAFTER(A397, "|", 1), "|", 1)</f>
        <v>A/Merlin/BC/AIVPHL-2103/2024</v>
      </c>
      <c r="C397" t="str">
        <f>LOWER(_xlfn.TEXTBEFORE(_xlfn.TEXTAFTER(B397, "/", 1), "/", 1))</f>
        <v>merlin</v>
      </c>
      <c r="D397" t="str">
        <f>_xlfn.TEXTBEFORE(_xlfn.TEXTAFTER(A397, "|", 3), "|", 1)</f>
        <v>Canada-BC</v>
      </c>
      <c r="E397" t="str">
        <f>_xlfn.TEXTBEFORE(_xlfn.TEXTAFTER(A397, "|", 4), "|", 1)</f>
        <v>2024-03-08</v>
      </c>
    </row>
    <row r="398" spans="1:5" x14ac:dyDescent="0.3">
      <c r="A398" t="s">
        <v>57</v>
      </c>
      <c r="B398" t="str">
        <f>_xlfn.TEXTBEFORE(_xlfn.TEXTAFTER(A398, "|", 1), "|", 1)</f>
        <v>A/Merlin/BC/OTH-0049-36/2024</v>
      </c>
      <c r="C398" t="str">
        <f>LOWER(_xlfn.TEXTBEFORE(_xlfn.TEXTAFTER(B398, "/", 1), "/", 1))</f>
        <v>merlin</v>
      </c>
      <c r="D398" t="str">
        <f>_xlfn.TEXTBEFORE(_xlfn.TEXTAFTER(A398, "|", 3), "|", 1)</f>
        <v>Canada-BC</v>
      </c>
      <c r="E398" t="str">
        <f>_xlfn.TEXTBEFORE(_xlfn.TEXTAFTER(A398, "|", 4), "|", 1)</f>
        <v>2024-03-08</v>
      </c>
    </row>
    <row r="399" spans="1:5" x14ac:dyDescent="0.3">
      <c r="A399" t="s">
        <v>390</v>
      </c>
      <c r="B399" t="str">
        <f>_xlfn.TEXTBEFORE(_xlfn.TEXTAFTER(A399, "|", 1), "|", 1)</f>
        <v>A/northern_pintail/USA/IZ24_0474/2024</v>
      </c>
      <c r="C399" t="str">
        <f>LOWER(_xlfn.TEXTBEFORE(_xlfn.TEXTAFTER(B399, "/", 1), "/", 1))</f>
        <v>northern_pintail</v>
      </c>
      <c r="D399" t="str">
        <f>_xlfn.TEXTBEFORE(_xlfn.TEXTAFTER(A399, "|", 3), "|", 1)</f>
        <v>USA-AK</v>
      </c>
      <c r="E399" t="str">
        <f>_xlfn.TEXTBEFORE(_xlfn.TEXTAFTER(A399, "|", 4), "|", 1)</f>
        <v>2024-10-01</v>
      </c>
    </row>
    <row r="400" spans="1:5" x14ac:dyDescent="0.3">
      <c r="A400" t="s">
        <v>391</v>
      </c>
      <c r="B400" t="str">
        <f>_xlfn.TEXTBEFORE(_xlfn.TEXTAFTER(A400, "|", 1), "|", 1)</f>
        <v>A/northern_pintail/USA/IZ24_0570/2024</v>
      </c>
      <c r="C400" t="str">
        <f>LOWER(_xlfn.TEXTBEFORE(_xlfn.TEXTAFTER(B400, "/", 1), "/", 1))</f>
        <v>northern_pintail</v>
      </c>
      <c r="D400" t="str">
        <f>_xlfn.TEXTBEFORE(_xlfn.TEXTAFTER(A400, "|", 3), "|", 1)</f>
        <v>USA-AK</v>
      </c>
      <c r="E400" t="str">
        <f>_xlfn.TEXTBEFORE(_xlfn.TEXTAFTER(A400, "|", 4), "|", 1)</f>
        <v>2024-10-06</v>
      </c>
    </row>
    <row r="401" spans="1:5" x14ac:dyDescent="0.3">
      <c r="A401" t="s">
        <v>392</v>
      </c>
      <c r="B401" t="str">
        <f>_xlfn.TEXTBEFORE(_xlfn.TEXTAFTER(A401, "|", 1), "|", 1)</f>
        <v>A/northern_pintail/USA/IZ24_0636/2024</v>
      </c>
      <c r="C401" t="str">
        <f>LOWER(_xlfn.TEXTBEFORE(_xlfn.TEXTAFTER(B401, "/", 1), "/", 1))</f>
        <v>northern_pintail</v>
      </c>
      <c r="D401" t="str">
        <f>_xlfn.TEXTBEFORE(_xlfn.TEXTAFTER(A401, "|", 3), "|", 1)</f>
        <v>USA-AK</v>
      </c>
      <c r="E401" t="str">
        <f>_xlfn.TEXTBEFORE(_xlfn.TEXTAFTER(A401, "|", 4), "|", 1)</f>
        <v>2024-10-08</v>
      </c>
    </row>
    <row r="402" spans="1:5" x14ac:dyDescent="0.3">
      <c r="A402" t="s">
        <v>2</v>
      </c>
      <c r="B402" t="str">
        <f>_xlfn.TEXTBEFORE(_xlfn.TEXTAFTER(A402, "|", 1), "|", 1)</f>
        <v>A/Cackling_Goose/BC/AIVPHL-2533/2024</v>
      </c>
      <c r="C402" t="str">
        <f>LOWER(_xlfn.TEXTBEFORE(_xlfn.TEXTAFTER(B402, "/", 1), "/", 1))</f>
        <v>cackling_goose</v>
      </c>
      <c r="D402" t="str">
        <f>_xlfn.TEXTBEFORE(_xlfn.TEXTAFTER(A402, "|", 3), "|", 1)</f>
        <v>Canada-BC</v>
      </c>
      <c r="E402" t="str">
        <f>_xlfn.TEXTBEFORE(_xlfn.TEXTAFTER(A402, "|", 4), "|", 1)</f>
        <v>2024-10-13</v>
      </c>
    </row>
    <row r="403" spans="1:5" x14ac:dyDescent="0.3">
      <c r="A403" t="s">
        <v>393</v>
      </c>
      <c r="B403" t="str">
        <f>_xlfn.TEXTBEFORE(_xlfn.TEXTAFTER(A403, "|", 1), "|", 1)</f>
        <v>A/northern_pintail/USA/IZ24_0787/2024</v>
      </c>
      <c r="C403" t="str">
        <f>LOWER(_xlfn.TEXTBEFORE(_xlfn.TEXTAFTER(B403, "/", 1), "/", 1))</f>
        <v>northern_pintail</v>
      </c>
      <c r="D403" t="str">
        <f>_xlfn.TEXTBEFORE(_xlfn.TEXTAFTER(A403, "|", 3), "|", 1)</f>
        <v>USA-AK</v>
      </c>
      <c r="E403" t="str">
        <f>_xlfn.TEXTBEFORE(_xlfn.TEXTAFTER(A403, "|", 4), "|", 1)</f>
        <v>2024-10-19</v>
      </c>
    </row>
    <row r="404" spans="1:5" x14ac:dyDescent="0.3">
      <c r="A404" t="s">
        <v>116</v>
      </c>
      <c r="B404" t="str">
        <f>_xlfn.TEXTBEFORE(_xlfn.TEXTAFTER(A404, "|", 1), "|", 1)</f>
        <v>A/Rosss_Goose/SK/FAV-0407-4/2024</v>
      </c>
      <c r="C404" t="str">
        <f>LOWER(_xlfn.TEXTBEFORE(_xlfn.TEXTAFTER(B404, "/", 1), "/", 1))</f>
        <v>rosss_goose</v>
      </c>
      <c r="D404" t="str">
        <f>_xlfn.TEXTBEFORE(_xlfn.TEXTAFTER(A404, "|", 3), "|", 1)</f>
        <v>Canada-SK</v>
      </c>
      <c r="E404" t="str">
        <f>_xlfn.TEXTBEFORE(_xlfn.TEXTAFTER(A404, "|", 4), "|", 1)</f>
        <v>2024-10-21</v>
      </c>
    </row>
    <row r="405" spans="1:5" x14ac:dyDescent="0.3">
      <c r="A405" t="s">
        <v>436</v>
      </c>
      <c r="B405" t="str">
        <f>_xlfn.TEXTBEFORE(_xlfn.TEXTAFTER(A405, "|", 1), "|", 1)</f>
        <v>A/Duck/HI/24-034985-001-original/2024</v>
      </c>
      <c r="C405" t="str">
        <f>LOWER(_xlfn.TEXTBEFORE(_xlfn.TEXTAFTER(B405, "/", 1), "/", 1))</f>
        <v>duck</v>
      </c>
      <c r="D405" t="str">
        <f>_xlfn.TEXTBEFORE(_xlfn.TEXTAFTER(A405, "|", 3), "|", 1)</f>
        <v>USA-HI</v>
      </c>
      <c r="E405" t="str">
        <f>_xlfn.TEXTBEFORE(_xlfn.TEXTAFTER(A405, "|", 4), "|", 1)</f>
        <v>2024-11-01</v>
      </c>
    </row>
    <row r="406" spans="1:5" x14ac:dyDescent="0.3">
      <c r="A406" t="s">
        <v>137</v>
      </c>
      <c r="B406" t="str">
        <f>_xlfn.TEXTBEFORE(_xlfn.TEXTAFTER(A406, "|", 1), "|", 1)</f>
        <v>A/American_Crow/BC/OTH-0112-121/2024</v>
      </c>
      <c r="C406" t="str">
        <f>LOWER(_xlfn.TEXTBEFORE(_xlfn.TEXTAFTER(B406, "/", 1), "/", 1))</f>
        <v>american_crow</v>
      </c>
      <c r="D406" t="str">
        <f>_xlfn.TEXTBEFORE(_xlfn.TEXTAFTER(A406, "|", 3), "|", 1)</f>
        <v>Canada-BC</v>
      </c>
      <c r="E406" t="str">
        <f>_xlfn.TEXTBEFORE(_xlfn.TEXTAFTER(A406, "|", 4), "|", 1)</f>
        <v>2024-11-05</v>
      </c>
    </row>
    <row r="407" spans="1:5" x14ac:dyDescent="0.3">
      <c r="A407" t="s">
        <v>102</v>
      </c>
      <c r="B407" t="str">
        <f>_xlfn.TEXTBEFORE(_xlfn.TEXTAFTER(A407, "|", 1), "|", 1)</f>
        <v>A/Chicken/AB/FAV-0288-2/2024</v>
      </c>
      <c r="C407" t="str">
        <f>LOWER(_xlfn.TEXTBEFORE(_xlfn.TEXTAFTER(B407, "/", 1), "/", 1))</f>
        <v>chicken</v>
      </c>
      <c r="D407" t="str">
        <f>_xlfn.TEXTBEFORE(_xlfn.TEXTAFTER(A407, "|", 3), "|", 1)</f>
        <v>Canada-AB</v>
      </c>
      <c r="E407" t="str">
        <f>_xlfn.TEXTBEFORE(_xlfn.TEXTAFTER(A407, "|", 4), "|", 1)</f>
        <v>2024-11-07</v>
      </c>
    </row>
    <row r="408" spans="1:5" x14ac:dyDescent="0.3">
      <c r="A408" t="s">
        <v>445</v>
      </c>
      <c r="B408" t="str">
        <f>_xlfn.TEXTBEFORE(_xlfn.TEXTAFTER(A408, "|", 1), "|", 1)</f>
        <v>A/Duck/HI/24-033968-001-original/2024</v>
      </c>
      <c r="C408" t="str">
        <f>LOWER(_xlfn.TEXTBEFORE(_xlfn.TEXTAFTER(B408, "/", 1), "/", 1))</f>
        <v>duck</v>
      </c>
      <c r="D408" t="str">
        <f>_xlfn.TEXTBEFORE(_xlfn.TEXTAFTER(A408, "|", 3), "|", 1)</f>
        <v>USA-HI</v>
      </c>
      <c r="E408" t="str">
        <f>_xlfn.TEXTBEFORE(_xlfn.TEXTAFTER(A408, "|", 4), "|", 1)</f>
        <v>2024-11-07</v>
      </c>
    </row>
    <row r="409" spans="1:5" x14ac:dyDescent="0.3">
      <c r="A409" t="s">
        <v>446</v>
      </c>
      <c r="B409" t="str">
        <f>_xlfn.TEXTBEFORE(_xlfn.TEXTAFTER(A409, "|", 1), "|", 1)</f>
        <v>A/Duck/HI/24-033968-002-original/2024</v>
      </c>
      <c r="C409" t="str">
        <f>LOWER(_xlfn.TEXTBEFORE(_xlfn.TEXTAFTER(B409, "/", 1), "/", 1))</f>
        <v>duck</v>
      </c>
      <c r="D409" t="str">
        <f>_xlfn.TEXTBEFORE(_xlfn.TEXTAFTER(A409, "|", 3), "|", 1)</f>
        <v>USA-HI</v>
      </c>
      <c r="E409" t="str">
        <f>_xlfn.TEXTBEFORE(_xlfn.TEXTAFTER(A409, "|", 4), "|", 1)</f>
        <v>2024-11-07</v>
      </c>
    </row>
    <row r="410" spans="1:5" x14ac:dyDescent="0.3">
      <c r="A410" t="s">
        <v>456</v>
      </c>
      <c r="B410" t="str">
        <f>_xlfn.TEXTBEFORE(_xlfn.TEXTAFTER(A410, "|", 1), "|", 1)</f>
        <v>A/Dove/HI/24-033876-005-original/2024</v>
      </c>
      <c r="C410" t="str">
        <f>LOWER(_xlfn.TEXTBEFORE(_xlfn.TEXTAFTER(B410, "/", 1), "/", 1))</f>
        <v>dove</v>
      </c>
      <c r="D410" t="str">
        <f>_xlfn.TEXTBEFORE(_xlfn.TEXTAFTER(A410, "|", 3), "|", 1)</f>
        <v>USA-HI</v>
      </c>
      <c r="E410" t="str">
        <f>_xlfn.TEXTBEFORE(_xlfn.TEXTAFTER(A410, "|", 4), "|", 1)</f>
        <v>2024-11-12</v>
      </c>
    </row>
    <row r="411" spans="1:5" x14ac:dyDescent="0.3">
      <c r="A411" t="s">
        <v>457</v>
      </c>
      <c r="B411" t="str">
        <f>_xlfn.TEXTBEFORE(_xlfn.TEXTAFTER(A411, "|", 1), "|", 1)</f>
        <v>A/Duck/HI/24-033876-001-original/2024</v>
      </c>
      <c r="C411" t="str">
        <f>LOWER(_xlfn.TEXTBEFORE(_xlfn.TEXTAFTER(B411, "/", 1), "/", 1))</f>
        <v>duck</v>
      </c>
      <c r="D411" t="str">
        <f>_xlfn.TEXTBEFORE(_xlfn.TEXTAFTER(A411, "|", 3), "|", 1)</f>
        <v>USA-HI</v>
      </c>
      <c r="E411" t="str">
        <f>_xlfn.TEXTBEFORE(_xlfn.TEXTAFTER(A411, "|", 4), "|", 1)</f>
        <v>2024-11-12</v>
      </c>
    </row>
    <row r="412" spans="1:5" x14ac:dyDescent="0.3">
      <c r="A412" t="s">
        <v>458</v>
      </c>
      <c r="B412" t="str">
        <f>_xlfn.TEXTBEFORE(_xlfn.TEXTAFTER(A412, "|", 1), "|", 1)</f>
        <v>A/Duck/HI/24-033876-002-original/2024</v>
      </c>
      <c r="C412" t="str">
        <f>LOWER(_xlfn.TEXTBEFORE(_xlfn.TEXTAFTER(B412, "/", 1), "/", 1))</f>
        <v>duck</v>
      </c>
      <c r="D412" t="str">
        <f>_xlfn.TEXTBEFORE(_xlfn.TEXTAFTER(A412, "|", 3), "|", 1)</f>
        <v>USA-HI</v>
      </c>
      <c r="E412" t="str">
        <f>_xlfn.TEXTBEFORE(_xlfn.TEXTAFTER(A412, "|", 4), "|", 1)</f>
        <v>2024-11-12</v>
      </c>
    </row>
    <row r="413" spans="1:5" x14ac:dyDescent="0.3">
      <c r="A413" t="s">
        <v>459</v>
      </c>
      <c r="B413" t="str">
        <f>_xlfn.TEXTBEFORE(_xlfn.TEXTAFTER(A413, "|", 1), "|", 1)</f>
        <v>A/Duck/HI/24-033876-004-original/2024</v>
      </c>
      <c r="C413" t="str">
        <f>LOWER(_xlfn.TEXTBEFORE(_xlfn.TEXTAFTER(B413, "/", 1), "/", 1))</f>
        <v>duck</v>
      </c>
      <c r="D413" t="str">
        <f>_xlfn.TEXTBEFORE(_xlfn.TEXTAFTER(A413, "|", 3), "|", 1)</f>
        <v>USA-HI</v>
      </c>
      <c r="E413" t="str">
        <f>_xlfn.TEXTBEFORE(_xlfn.TEXTAFTER(A413, "|", 4), "|", 1)</f>
        <v>2024-11-12</v>
      </c>
    </row>
    <row r="414" spans="1:5" x14ac:dyDescent="0.3">
      <c r="A414" t="s">
        <v>460</v>
      </c>
      <c r="B414" t="str">
        <f>_xlfn.TEXTBEFORE(_xlfn.TEXTAFTER(A414, "|", 1), "|", 1)</f>
        <v>A/goose/HI/24-033876-003-original/2024</v>
      </c>
      <c r="C414" t="str">
        <f>LOWER(_xlfn.TEXTBEFORE(_xlfn.TEXTAFTER(B414, "/", 1), "/", 1))</f>
        <v>goose</v>
      </c>
      <c r="D414" t="str">
        <f>_xlfn.TEXTBEFORE(_xlfn.TEXTAFTER(A414, "|", 3), "|", 1)</f>
        <v>USA-HI</v>
      </c>
      <c r="E414" t="str">
        <f>_xlfn.TEXTBEFORE(_xlfn.TEXTAFTER(A414, "|", 4), "|", 1)</f>
        <v>2024-11-12</v>
      </c>
    </row>
    <row r="415" spans="1:5" x14ac:dyDescent="0.3">
      <c r="A415" t="s">
        <v>110</v>
      </c>
      <c r="B415" t="str">
        <f>_xlfn.TEXTBEFORE(_xlfn.TEXTAFTER(A415, "|", 1), "|", 1)</f>
        <v>A/Chicken/AB/FAV-0353/2024</v>
      </c>
      <c r="C415" t="str">
        <f>LOWER(_xlfn.TEXTBEFORE(_xlfn.TEXTAFTER(B415, "/", 1), "/", 1))</f>
        <v>chicken</v>
      </c>
      <c r="D415" t="str">
        <f>_xlfn.TEXTBEFORE(_xlfn.TEXTAFTER(A415, "|", 3), "|", 1)</f>
        <v>Canada-AB</v>
      </c>
      <c r="E415" t="str">
        <f>_xlfn.TEXTBEFORE(_xlfn.TEXTAFTER(A415, "|", 4), "|", 1)</f>
        <v>2024-11-14</v>
      </c>
    </row>
    <row r="416" spans="1:5" x14ac:dyDescent="0.3">
      <c r="A416" t="s">
        <v>447</v>
      </c>
      <c r="B416" t="str">
        <f>_xlfn.TEXTBEFORE(_xlfn.TEXTAFTER(A416, "|", 1), "|", 1)</f>
        <v>A/Duck/MN/24-033969-003-original/2024</v>
      </c>
      <c r="C416" t="str">
        <f>LOWER(_xlfn.TEXTBEFORE(_xlfn.TEXTAFTER(B416, "/", 1), "/", 1))</f>
        <v>duck</v>
      </c>
      <c r="D416" t="str">
        <f>_xlfn.TEXTBEFORE(_xlfn.TEXTAFTER(A416, "|", 3), "|", 1)</f>
        <v>USA-MN</v>
      </c>
      <c r="E416" t="str">
        <f>_xlfn.TEXTBEFORE(_xlfn.TEXTAFTER(A416, "|", 4), "|", 1)</f>
        <v>2024-11-14</v>
      </c>
    </row>
    <row r="417" spans="1:5" x14ac:dyDescent="0.3">
      <c r="A417" t="s">
        <v>448</v>
      </c>
      <c r="B417" t="str">
        <f>_xlfn.TEXTBEFORE(_xlfn.TEXTAFTER(A417, "|", 1), "|", 1)</f>
        <v>A/Emu/MN/24-033969-001-original/2024</v>
      </c>
      <c r="C417" t="str">
        <f>LOWER(_xlfn.TEXTBEFORE(_xlfn.TEXTAFTER(B417, "/", 1), "/", 1))</f>
        <v>emu</v>
      </c>
      <c r="D417" t="str">
        <f>_xlfn.TEXTBEFORE(_xlfn.TEXTAFTER(A417, "|", 3), "|", 1)</f>
        <v>USA-MN</v>
      </c>
      <c r="E417" t="str">
        <f>_xlfn.TEXTBEFORE(_xlfn.TEXTAFTER(A417, "|", 4), "|", 1)</f>
        <v>2024-11-14</v>
      </c>
    </row>
    <row r="418" spans="1:5" x14ac:dyDescent="0.3">
      <c r="A418" t="s">
        <v>449</v>
      </c>
      <c r="B418" t="str">
        <f>_xlfn.TEXTBEFORE(_xlfn.TEXTAFTER(A418, "|", 1), "|", 1)</f>
        <v>A/Guinea_Fowl/MN/24-033969-002-original/2024</v>
      </c>
      <c r="C418" t="str">
        <f>LOWER(_xlfn.TEXTBEFORE(_xlfn.TEXTAFTER(B418, "/", 1), "/", 1))</f>
        <v>guinea_fowl</v>
      </c>
      <c r="D418" t="str">
        <f>_xlfn.TEXTBEFORE(_xlfn.TEXTAFTER(A418, "|", 3), "|", 1)</f>
        <v>USA-MN</v>
      </c>
      <c r="E418" t="str">
        <f>_xlfn.TEXTBEFORE(_xlfn.TEXTAFTER(A418, "|", 4), "|", 1)</f>
        <v>2024-11-14</v>
      </c>
    </row>
    <row r="419" spans="1:5" x14ac:dyDescent="0.3">
      <c r="A419" t="s">
        <v>438</v>
      </c>
      <c r="B419" t="str">
        <f>_xlfn.TEXTBEFORE(_xlfn.TEXTAFTER(A419, "|", 1), "|", 1)</f>
        <v>A/Duck/HI/24-034987-002-original/2024</v>
      </c>
      <c r="C419" t="str">
        <f>LOWER(_xlfn.TEXTBEFORE(_xlfn.TEXTAFTER(B419, "/", 1), "/", 1))</f>
        <v>duck</v>
      </c>
      <c r="D419" t="str">
        <f>_xlfn.TEXTBEFORE(_xlfn.TEXTAFTER(A419, "|", 3), "|", 1)</f>
        <v>USA-HI</v>
      </c>
      <c r="E419" t="str">
        <f>_xlfn.TEXTBEFORE(_xlfn.TEXTAFTER(A419, "|", 4), "|", 1)</f>
        <v>2024-11-15</v>
      </c>
    </row>
    <row r="420" spans="1:5" x14ac:dyDescent="0.3">
      <c r="A420" t="s">
        <v>439</v>
      </c>
      <c r="B420" t="str">
        <f>_xlfn.TEXTBEFORE(_xlfn.TEXTAFTER(A420, "|", 1), "|", 1)</f>
        <v>A/Duck/HI/24-034987-004-original/2024</v>
      </c>
      <c r="C420" t="str">
        <f>LOWER(_xlfn.TEXTBEFORE(_xlfn.TEXTAFTER(B420, "/", 1), "/", 1))</f>
        <v>duck</v>
      </c>
      <c r="D420" t="str">
        <f>_xlfn.TEXTBEFORE(_xlfn.TEXTAFTER(A420, "|", 3), "|", 1)</f>
        <v>USA-HI</v>
      </c>
      <c r="E420" t="str">
        <f>_xlfn.TEXTBEFORE(_xlfn.TEXTAFTER(A420, "|", 4), "|", 1)</f>
        <v>2024-11-15</v>
      </c>
    </row>
    <row r="421" spans="1:5" x14ac:dyDescent="0.3">
      <c r="A421" t="s">
        <v>440</v>
      </c>
      <c r="B421" t="str">
        <f>_xlfn.TEXTBEFORE(_xlfn.TEXTAFTER(A421, "|", 1), "|", 1)</f>
        <v>A/Duck/HI/24-034987-005-original/2024</v>
      </c>
      <c r="C421" t="str">
        <f>LOWER(_xlfn.TEXTBEFORE(_xlfn.TEXTAFTER(B421, "/", 1), "/", 1))</f>
        <v>duck</v>
      </c>
      <c r="D421" t="str">
        <f>_xlfn.TEXTBEFORE(_xlfn.TEXTAFTER(A421, "|", 3), "|", 1)</f>
        <v>USA-HI</v>
      </c>
      <c r="E421" t="str">
        <f>_xlfn.TEXTBEFORE(_xlfn.TEXTAFTER(A421, "|", 4), "|", 1)</f>
        <v>2024-11-15</v>
      </c>
    </row>
    <row r="422" spans="1:5" x14ac:dyDescent="0.3">
      <c r="A422" t="s">
        <v>441</v>
      </c>
      <c r="B422" t="str">
        <f>_xlfn.TEXTBEFORE(_xlfn.TEXTAFTER(A422, "|", 1), "|", 1)</f>
        <v>A/Duck/HI/24-034987-008-original/2024</v>
      </c>
      <c r="C422" t="str">
        <f>LOWER(_xlfn.TEXTBEFORE(_xlfn.TEXTAFTER(B422, "/", 1), "/", 1))</f>
        <v>duck</v>
      </c>
      <c r="D422" t="str">
        <f>_xlfn.TEXTBEFORE(_xlfn.TEXTAFTER(A422, "|", 3), "|", 1)</f>
        <v>USA-HI</v>
      </c>
      <c r="E422" t="str">
        <f>_xlfn.TEXTBEFORE(_xlfn.TEXTAFTER(A422, "|", 4), "|", 1)</f>
        <v>2024-11-15</v>
      </c>
    </row>
    <row r="423" spans="1:5" x14ac:dyDescent="0.3">
      <c r="A423" t="s">
        <v>442</v>
      </c>
      <c r="B423" t="str">
        <f>_xlfn.TEXTBEFORE(_xlfn.TEXTAFTER(A423, "|", 1), "|", 1)</f>
        <v>A/Duck/HI/24-034987-010-original/2024</v>
      </c>
      <c r="C423" t="str">
        <f>LOWER(_xlfn.TEXTBEFORE(_xlfn.TEXTAFTER(B423, "/", 1), "/", 1))</f>
        <v>duck</v>
      </c>
      <c r="D423" t="str">
        <f>_xlfn.TEXTBEFORE(_xlfn.TEXTAFTER(A423, "|", 3), "|", 1)</f>
        <v>USA-HI</v>
      </c>
      <c r="E423" t="str">
        <f>_xlfn.TEXTBEFORE(_xlfn.TEXTAFTER(A423, "|", 4), "|", 1)</f>
        <v>2024-11-15</v>
      </c>
    </row>
    <row r="424" spans="1:5" x14ac:dyDescent="0.3">
      <c r="A424" t="s">
        <v>450</v>
      </c>
      <c r="B424" t="str">
        <f>_xlfn.TEXTBEFORE(_xlfn.TEXTAFTER(A424, "|", 1), "|", 1)</f>
        <v>A/Pheasant/IL/24-034185-001-original/2024</v>
      </c>
      <c r="C424" t="str">
        <f>LOWER(_xlfn.TEXTBEFORE(_xlfn.TEXTAFTER(B424, "/", 1), "/", 1))</f>
        <v>pheasant</v>
      </c>
      <c r="D424" t="str">
        <f>_xlfn.TEXTBEFORE(_xlfn.TEXTAFTER(A424, "|", 3), "|", 1)</f>
        <v>USA-IL</v>
      </c>
      <c r="E424" t="str">
        <f>_xlfn.TEXTBEFORE(_xlfn.TEXTAFTER(A424, "|", 4), "|", 1)</f>
        <v>2024-11-15</v>
      </c>
    </row>
    <row r="425" spans="1:5" x14ac:dyDescent="0.3">
      <c r="A425" t="s">
        <v>451</v>
      </c>
      <c r="B425" t="str">
        <f>_xlfn.TEXTBEFORE(_xlfn.TEXTAFTER(A425, "|", 1), "|", 1)</f>
        <v>A/Pheasant/IL/24-034185-002-original/2024</v>
      </c>
      <c r="C425" t="str">
        <f>LOWER(_xlfn.TEXTBEFORE(_xlfn.TEXTAFTER(B425, "/", 1), "/", 1))</f>
        <v>pheasant</v>
      </c>
      <c r="D425" t="str">
        <f>_xlfn.TEXTBEFORE(_xlfn.TEXTAFTER(A425, "|", 3), "|", 1)</f>
        <v>USA-IL</v>
      </c>
      <c r="E425" t="str">
        <f>_xlfn.TEXTBEFORE(_xlfn.TEXTAFTER(A425, "|", 4), "|", 1)</f>
        <v>2024-11-15</v>
      </c>
    </row>
    <row r="426" spans="1:5" x14ac:dyDescent="0.3">
      <c r="A426" t="s">
        <v>452</v>
      </c>
      <c r="B426" t="str">
        <f>_xlfn.TEXTBEFORE(_xlfn.TEXTAFTER(A426, "|", 1), "|", 1)</f>
        <v>A/Pheasant/IL/24-034185-003-original/2024</v>
      </c>
      <c r="C426" t="str">
        <f>LOWER(_xlfn.TEXTBEFORE(_xlfn.TEXTAFTER(B426, "/", 1), "/", 1))</f>
        <v>pheasant</v>
      </c>
      <c r="D426" t="str">
        <f>_xlfn.TEXTBEFORE(_xlfn.TEXTAFTER(A426, "|", 3), "|", 1)</f>
        <v>USA-IL</v>
      </c>
      <c r="E426" t="str">
        <f>_xlfn.TEXTBEFORE(_xlfn.TEXTAFTER(A426, "|", 4), "|", 1)</f>
        <v>2024-11-15</v>
      </c>
    </row>
    <row r="427" spans="1:5" x14ac:dyDescent="0.3">
      <c r="A427" t="s">
        <v>453</v>
      </c>
      <c r="B427" t="str">
        <f>_xlfn.TEXTBEFORE(_xlfn.TEXTAFTER(A427, "|", 1), "|", 1)</f>
        <v>A/Pheasant/IL/24-034185-004-original/2024</v>
      </c>
      <c r="C427" t="str">
        <f>LOWER(_xlfn.TEXTBEFORE(_xlfn.TEXTAFTER(B427, "/", 1), "/", 1))</f>
        <v>pheasant</v>
      </c>
      <c r="D427" t="str">
        <f>_xlfn.TEXTBEFORE(_xlfn.TEXTAFTER(A427, "|", 3), "|", 1)</f>
        <v>USA-IL</v>
      </c>
      <c r="E427" t="str">
        <f>_xlfn.TEXTBEFORE(_xlfn.TEXTAFTER(A427, "|", 4), "|", 1)</f>
        <v>2024-11-15</v>
      </c>
    </row>
    <row r="428" spans="1:5" x14ac:dyDescent="0.3">
      <c r="A428" t="s">
        <v>437</v>
      </c>
      <c r="B428" t="str">
        <f>_xlfn.TEXTBEFORE(_xlfn.TEXTAFTER(A428, "|", 1), "|", 1)</f>
        <v>A/Duck/HI/24-034986-001-original/2024</v>
      </c>
      <c r="C428" t="str">
        <f>LOWER(_xlfn.TEXTBEFORE(_xlfn.TEXTAFTER(B428, "/", 1), "/", 1))</f>
        <v>duck</v>
      </c>
      <c r="D428" t="str">
        <f>_xlfn.TEXTBEFORE(_xlfn.TEXTAFTER(A428, "|", 3), "|", 1)</f>
        <v>USA-HI</v>
      </c>
      <c r="E428" t="str">
        <f>_xlfn.TEXTBEFORE(_xlfn.TEXTAFTER(A428, "|", 4), "|", 1)</f>
        <v>2024-11-17</v>
      </c>
    </row>
    <row r="429" spans="1:5" x14ac:dyDescent="0.3">
      <c r="A429" t="s">
        <v>443</v>
      </c>
      <c r="B429" t="str">
        <f>_xlfn.TEXTBEFORE(_xlfn.TEXTAFTER(A429, "|", 1), "|", 1)</f>
        <v>A/chicken/OR/24-035148-001-original/2024</v>
      </c>
      <c r="C429" t="str">
        <f>LOWER(_xlfn.TEXTBEFORE(_xlfn.TEXTAFTER(B429, "/", 1), "/", 1))</f>
        <v>chicken</v>
      </c>
      <c r="D429" t="str">
        <f>_xlfn.TEXTBEFORE(_xlfn.TEXTAFTER(A429, "|", 3), "|", 1)</f>
        <v>USA-OR</v>
      </c>
      <c r="E429" t="str">
        <f>_xlfn.TEXTBEFORE(_xlfn.TEXTAFTER(A429, "|", 4), "|", 1)</f>
        <v>2024-11-18</v>
      </c>
    </row>
    <row r="430" spans="1:5" x14ac:dyDescent="0.3">
      <c r="A430" t="s">
        <v>444</v>
      </c>
      <c r="B430" t="str">
        <f>_xlfn.TEXTBEFORE(_xlfn.TEXTAFTER(A430, "|", 1), "|", 1)</f>
        <v>A/chicken/OR/24-035148-002-original/2024</v>
      </c>
      <c r="C430" t="str">
        <f>LOWER(_xlfn.TEXTBEFORE(_xlfn.TEXTAFTER(B430, "/", 1), "/", 1))</f>
        <v>chicken</v>
      </c>
      <c r="D430" t="str">
        <f>_xlfn.TEXTBEFORE(_xlfn.TEXTAFTER(A430, "|", 3), "|", 1)</f>
        <v>USA-OR</v>
      </c>
      <c r="E430" t="str">
        <f>_xlfn.TEXTBEFORE(_xlfn.TEXTAFTER(A430, "|", 4), "|", 1)</f>
        <v>2024-11-18</v>
      </c>
    </row>
    <row r="431" spans="1:5" x14ac:dyDescent="0.3">
      <c r="A431" t="s">
        <v>454</v>
      </c>
      <c r="B431" t="str">
        <f>_xlfn.TEXTBEFORE(_xlfn.TEXTAFTER(A431, "|", 1), "|", 1)</f>
        <v>A/chicken/ID/24-034633-001-original-repeat/2024</v>
      </c>
      <c r="C431" t="str">
        <f>LOWER(_xlfn.TEXTBEFORE(_xlfn.TEXTAFTER(B431, "/", 1), "/", 1))</f>
        <v>chicken</v>
      </c>
      <c r="D431" t="str">
        <f>_xlfn.TEXTBEFORE(_xlfn.TEXTAFTER(A431, "|", 3), "|", 1)</f>
        <v>USA-ID</v>
      </c>
      <c r="E431" t="str">
        <f>_xlfn.TEXTBEFORE(_xlfn.TEXTAFTER(A431, "|", 4), "|", 1)</f>
        <v>2024-11-19</v>
      </c>
    </row>
    <row r="432" spans="1:5" x14ac:dyDescent="0.3">
      <c r="A432" t="s">
        <v>455</v>
      </c>
      <c r="B432" t="str">
        <f>_xlfn.TEXTBEFORE(_xlfn.TEXTAFTER(A432, "|", 1), "|", 1)</f>
        <v>A/chicken/ID/24-034633-002-original-repeat/2024</v>
      </c>
      <c r="C432" t="str">
        <f>LOWER(_xlfn.TEXTBEFORE(_xlfn.TEXTAFTER(B432, "/", 1), "/", 1))</f>
        <v>chicken</v>
      </c>
      <c r="D432" t="str">
        <f>_xlfn.TEXTBEFORE(_xlfn.TEXTAFTER(A432, "|", 3), "|", 1)</f>
        <v>USA-ID</v>
      </c>
      <c r="E432" t="str">
        <f>_xlfn.TEXTBEFORE(_xlfn.TEXTAFTER(A432, "|", 4), "|", 1)</f>
        <v>2024-11-19</v>
      </c>
    </row>
    <row r="433" spans="1:5" x14ac:dyDescent="0.3">
      <c r="A433" t="s">
        <v>420</v>
      </c>
      <c r="B433" t="str">
        <f>_xlfn.TEXTBEFORE(_xlfn.TEXTAFTER(A433, "|", 1), "|", 1)</f>
        <v>A/green-winged_teal/Florida/W24-974A/2024</v>
      </c>
      <c r="C433" t="str">
        <f>LOWER(_xlfn.TEXTBEFORE(_xlfn.TEXTAFTER(B433, "/", 1), "/", 1))</f>
        <v>green-winged_teal</v>
      </c>
      <c r="D433" t="str">
        <f>_xlfn.TEXTBEFORE(_xlfn.TEXTAFTER(A433, "|", 3), "|", 1)</f>
        <v>USA-FL</v>
      </c>
      <c r="E433" t="str">
        <f>_xlfn.TEXTBEFORE(_xlfn.TEXTAFTER(A433, "|", 4), "|", 1)</f>
        <v>2024-11-20</v>
      </c>
    </row>
    <row r="434" spans="1:5" x14ac:dyDescent="0.3">
      <c r="A434" t="s">
        <v>422</v>
      </c>
      <c r="B434" t="str">
        <f>_xlfn.TEXTBEFORE(_xlfn.TEXTAFTER(A434, "|", 1), "|", 1)</f>
        <v>A/wood_duck/Florida/W24-974B/2024</v>
      </c>
      <c r="C434" t="str">
        <f>LOWER(_xlfn.TEXTBEFORE(_xlfn.TEXTAFTER(B434, "/", 1), "/", 1))</f>
        <v>wood_duck</v>
      </c>
      <c r="D434" t="str">
        <f>_xlfn.TEXTBEFORE(_xlfn.TEXTAFTER(A434, "|", 3), "|", 1)</f>
        <v>USA-FL</v>
      </c>
      <c r="E434" t="str">
        <f>_xlfn.TEXTBEFORE(_xlfn.TEXTAFTER(A434, "|", 4), "|", 1)</f>
        <v>2024-11-20</v>
      </c>
    </row>
    <row r="435" spans="1:5" x14ac:dyDescent="0.3">
      <c r="A435" t="s">
        <v>421</v>
      </c>
      <c r="B435" t="str">
        <f>_xlfn.TEXTBEFORE(_xlfn.TEXTAFTER(A435, "|", 1), "|", 1)</f>
        <v>A/tundra_swan/North_Carolina/W24-1035/2024</v>
      </c>
      <c r="C435" t="str">
        <f>LOWER(_xlfn.TEXTBEFORE(_xlfn.TEXTAFTER(B435, "/", 1), "/", 1))</f>
        <v>tundra_swan</v>
      </c>
      <c r="D435" t="str">
        <f>_xlfn.TEXTBEFORE(_xlfn.TEXTAFTER(A435, "|", 3), "|", 1)</f>
        <v>USA-NC</v>
      </c>
      <c r="E435" t="str">
        <f>_xlfn.TEXTBEFORE(_xlfn.TEXTAFTER(A435, "|", 4), "|", 1)</f>
        <v>2024-12-03</v>
      </c>
    </row>
    <row r="436" spans="1:5" x14ac:dyDescent="0.3">
      <c r="A436" t="s">
        <v>435</v>
      </c>
      <c r="B436" t="str">
        <f>_xlfn.TEXTBEFORE(_xlfn.TEXTAFTER(A436, "|", 1), "|", 1)</f>
        <v>A/cat/MN/24-036601-001-original/2024</v>
      </c>
      <c r="C436" t="str">
        <f>LOWER(_xlfn.TEXTBEFORE(_xlfn.TEXTAFTER(B436, "/", 1), "/", 1))</f>
        <v>cat</v>
      </c>
      <c r="D436" t="str">
        <f>_xlfn.TEXTBEFORE(_xlfn.TEXTAFTER(A436, "|", 3), "|", 1)</f>
        <v>USA-MN</v>
      </c>
      <c r="E436" t="str">
        <f>_xlfn.TEXTBEFORE(_xlfn.TEXTAFTER(A436, "|", 4), "|", 1)</f>
        <v>2024-12-06</v>
      </c>
    </row>
    <row r="437" spans="1:5" x14ac:dyDescent="0.3">
      <c r="A437" t="s">
        <v>433</v>
      </c>
      <c r="B437" t="str">
        <f>_xlfn.TEXTBEFORE(_xlfn.TEXTAFTER(A437, "|", 1), "|", 1)</f>
        <v>A/Turkey/IA/24-036503-001-original/2024</v>
      </c>
      <c r="C437" t="str">
        <f>LOWER(_xlfn.TEXTBEFORE(_xlfn.TEXTAFTER(B437, "/", 1), "/", 1))</f>
        <v>turkey</v>
      </c>
      <c r="D437" t="str">
        <f>_xlfn.TEXTBEFORE(_xlfn.TEXTAFTER(A437, "|", 3), "|", 1)</f>
        <v>USA-IA</v>
      </c>
      <c r="E437" t="str">
        <f>_xlfn.TEXTBEFORE(_xlfn.TEXTAFTER(A437, "|", 4), "|", 1)</f>
        <v>2024-12-07</v>
      </c>
    </row>
    <row r="438" spans="1:5" x14ac:dyDescent="0.3">
      <c r="A438" t="s">
        <v>434</v>
      </c>
      <c r="B438" t="str">
        <f>_xlfn.TEXTBEFORE(_xlfn.TEXTAFTER(A438, "|", 1), "|", 1)</f>
        <v>A/Turkey/IA/24-036503-002-original/2024</v>
      </c>
      <c r="C438" t="str">
        <f>LOWER(_xlfn.TEXTBEFORE(_xlfn.TEXTAFTER(B438, "/", 1), "/", 1))</f>
        <v>turkey</v>
      </c>
      <c r="D438" t="str">
        <f>_xlfn.TEXTBEFORE(_xlfn.TEXTAFTER(A438, "|", 3), "|", 1)</f>
        <v>USA-IA</v>
      </c>
      <c r="E438" t="str">
        <f>_xlfn.TEXTBEFORE(_xlfn.TEXTAFTER(A438, "|", 4), "|", 1)</f>
        <v>2024-12-07</v>
      </c>
    </row>
    <row r="439" spans="1:5" x14ac:dyDescent="0.3">
      <c r="A439" t="s">
        <v>134</v>
      </c>
      <c r="B439" t="str">
        <f>_xlfn.TEXTBEFORE(_xlfn.TEXTAFTER(A439, "|", 1), "|", 1)</f>
        <v>A/Tundra_Swan/ON/FAV-0443-3/2024</v>
      </c>
      <c r="C439" t="str">
        <f>LOWER(_xlfn.TEXTBEFORE(_xlfn.TEXTAFTER(B439, "/", 1), "/", 1))</f>
        <v>tundra_swan</v>
      </c>
      <c r="D439" t="str">
        <f>_xlfn.TEXTBEFORE(_xlfn.TEXTAFTER(A439, "|", 3), "|", 1)</f>
        <v>Canada-ON</v>
      </c>
      <c r="E439" t="str">
        <f>_xlfn.TEXTBEFORE(_xlfn.TEXTAFTER(A439, "|", 4), "|", 1)</f>
        <v>2024-12-08</v>
      </c>
    </row>
    <row r="440" spans="1:5" x14ac:dyDescent="0.3">
      <c r="A440" t="s">
        <v>385</v>
      </c>
      <c r="B440" t="str">
        <f>_xlfn.TEXTBEFORE(_xlfn.TEXTAFTER(A440, "|", 1), "|", 1)</f>
        <v>A/Gadwall/Tennessee/434/2024</v>
      </c>
      <c r="C440" t="str">
        <f>LOWER(_xlfn.TEXTBEFORE(_xlfn.TEXTAFTER(B440, "/", 1), "/", 1))</f>
        <v>gadwall</v>
      </c>
      <c r="D440" t="str">
        <f>_xlfn.TEXTBEFORE(_xlfn.TEXTAFTER(A440, "|", 3), "|", 1)</f>
        <v>USA-TN</v>
      </c>
      <c r="E440" t="str">
        <f>_xlfn.TEXTBEFORE(_xlfn.TEXTAFTER(A440, "|", 4), "|", 1)</f>
        <v>2024-12-12</v>
      </c>
    </row>
    <row r="441" spans="1:5" x14ac:dyDescent="0.3">
      <c r="A441" t="s">
        <v>149</v>
      </c>
      <c r="B441" t="str">
        <f>_xlfn.TEXTBEFORE(_xlfn.TEXTAFTER(A441, "|", 1), "|", 1)</f>
        <v>A/Guineafowl/MO/24-038546-002-original/2024</v>
      </c>
      <c r="C441" t="str">
        <f>LOWER(_xlfn.TEXTBEFORE(_xlfn.TEXTAFTER(B441, "/", 1), "/", 1))</f>
        <v>guineafowl</v>
      </c>
      <c r="D441" t="str">
        <f>_xlfn.TEXTBEFORE(_xlfn.TEXTAFTER(A441, "|", 3), "|", 1)</f>
        <v>USA-MO</v>
      </c>
      <c r="E441" t="str">
        <f>_xlfn.TEXTBEFORE(_xlfn.TEXTAFTER(A441, "|", 4), "|", 1)</f>
        <v>2024-12-20</v>
      </c>
    </row>
    <row r="442" spans="1:5" x14ac:dyDescent="0.3">
      <c r="A442" t="s">
        <v>150</v>
      </c>
      <c r="B442" t="str">
        <f>_xlfn.TEXTBEFORE(_xlfn.TEXTAFTER(A442, "|", 1), "|", 1)</f>
        <v>A/Guineafowl/MO/24-038441-003-original/2024</v>
      </c>
      <c r="C442" t="str">
        <f>LOWER(_xlfn.TEXTBEFORE(_xlfn.TEXTAFTER(B442, "/", 1), "/", 1))</f>
        <v>guineafowl</v>
      </c>
      <c r="D442" t="str">
        <f>_xlfn.TEXTBEFORE(_xlfn.TEXTAFTER(A442, "|", 3), "|", 1)</f>
        <v>USA-MO</v>
      </c>
      <c r="E442" t="str">
        <f>_xlfn.TEXTBEFORE(_xlfn.TEXTAFTER(A442, "|", 4), "|", 1)</f>
        <v>2024-12-20</v>
      </c>
    </row>
    <row r="443" spans="1:5" x14ac:dyDescent="0.3">
      <c r="A443" t="s">
        <v>430</v>
      </c>
      <c r="B443" t="str">
        <f>_xlfn.TEXTBEFORE(_xlfn.TEXTAFTER(A443, "|", 1), "|", 1)</f>
        <v>A/chicken/MO/24-038441-002-original/2024</v>
      </c>
      <c r="C443" t="str">
        <f>LOWER(_xlfn.TEXTBEFORE(_xlfn.TEXTAFTER(B443, "/", 1), "/", 1))</f>
        <v>chicken</v>
      </c>
      <c r="D443" t="str">
        <f>_xlfn.TEXTBEFORE(_xlfn.TEXTAFTER(A443, "|", 3), "|", 1)</f>
        <v>USA-MO</v>
      </c>
      <c r="E443" t="str">
        <f>_xlfn.TEXTBEFORE(_xlfn.TEXTAFTER(A443, "|", 4), "|", 1)</f>
        <v>2024-12-20</v>
      </c>
    </row>
    <row r="444" spans="1:5" x14ac:dyDescent="0.3">
      <c r="A444" t="s">
        <v>431</v>
      </c>
      <c r="B444" t="str">
        <f>_xlfn.TEXTBEFORE(_xlfn.TEXTAFTER(A444, "|", 1), "|", 1)</f>
        <v>A/chicken/MO/24-038546-001-original/2024</v>
      </c>
      <c r="C444" t="str">
        <f>LOWER(_xlfn.TEXTBEFORE(_xlfn.TEXTAFTER(B444, "/", 1), "/", 1))</f>
        <v>chicken</v>
      </c>
      <c r="D444" t="str">
        <f>_xlfn.TEXTBEFORE(_xlfn.TEXTAFTER(A444, "|", 3), "|", 1)</f>
        <v>USA-MO</v>
      </c>
      <c r="E444" t="str">
        <f>_xlfn.TEXTBEFORE(_xlfn.TEXTAFTER(A444, "|", 4), "|", 1)</f>
        <v>2024-12-20</v>
      </c>
    </row>
    <row r="445" spans="1:5" x14ac:dyDescent="0.3">
      <c r="A445" t="s">
        <v>432</v>
      </c>
      <c r="B445" t="str">
        <f>_xlfn.TEXTBEFORE(_xlfn.TEXTAFTER(A445, "|", 1), "|", 1)</f>
        <v>A/chicken/WY/24-038661-001-original/2024</v>
      </c>
      <c r="C445" t="str">
        <f>LOWER(_xlfn.TEXTBEFORE(_xlfn.TEXTAFTER(B445, "/", 1), "/", 1))</f>
        <v>chicken</v>
      </c>
      <c r="D445" t="str">
        <f>_xlfn.TEXTBEFORE(_xlfn.TEXTAFTER(A445, "|", 3), "|", 1)</f>
        <v>USA-WY</v>
      </c>
      <c r="E445" t="str">
        <f>_xlfn.TEXTBEFORE(_xlfn.TEXTAFTER(A445, "|", 4), "|", 1)</f>
        <v>2024-12-22</v>
      </c>
    </row>
    <row r="446" spans="1:5" x14ac:dyDescent="0.3">
      <c r="A446" t="s">
        <v>428</v>
      </c>
      <c r="B446" t="str">
        <f>_xlfn.TEXTBEFORE(_xlfn.TEXTAFTER(A446, "|", 1), "|", 1)</f>
        <v>A/chicken/ID/24-038841-001-original/2024</v>
      </c>
      <c r="C446" t="str">
        <f>LOWER(_xlfn.TEXTBEFORE(_xlfn.TEXTAFTER(B446, "/", 1), "/", 1))</f>
        <v>chicken</v>
      </c>
      <c r="D446" t="str">
        <f>_xlfn.TEXTBEFORE(_xlfn.TEXTAFTER(A446, "|", 3), "|", 1)</f>
        <v>USA-ID</v>
      </c>
      <c r="E446" t="str">
        <f>_xlfn.TEXTBEFORE(_xlfn.TEXTAFTER(A446, "|", 4), "|", 1)</f>
        <v>2024-12-23</v>
      </c>
    </row>
    <row r="447" spans="1:5" x14ac:dyDescent="0.3">
      <c r="A447" t="s">
        <v>148</v>
      </c>
      <c r="B447" t="str">
        <f>_xlfn.TEXTBEFORE(_xlfn.TEXTAFTER(A447, "|", 1), "|", 1)</f>
        <v>A/Pheasant/SC/24-039001-001-original/2024</v>
      </c>
      <c r="C447" t="str">
        <f>LOWER(_xlfn.TEXTBEFORE(_xlfn.TEXTAFTER(B447, "/", 1), "/", 1))</f>
        <v>pheasant</v>
      </c>
      <c r="D447" t="str">
        <f>_xlfn.TEXTBEFORE(_xlfn.TEXTAFTER(A447, "|", 3), "|", 1)</f>
        <v>USA-SC</v>
      </c>
      <c r="E447" t="str">
        <f>_xlfn.TEXTBEFORE(_xlfn.TEXTAFTER(A447, "|", 4), "|", 1)</f>
        <v>2024-12-26</v>
      </c>
    </row>
    <row r="448" spans="1:5" x14ac:dyDescent="0.3">
      <c r="A448" t="s">
        <v>429</v>
      </c>
      <c r="B448" t="str">
        <f>_xlfn.TEXTBEFORE(_xlfn.TEXTAFTER(A448, "|", 1), "|", 1)</f>
        <v>A/chicken/MI/24-038976-001-original/2024</v>
      </c>
      <c r="C448" t="str">
        <f>LOWER(_xlfn.TEXTBEFORE(_xlfn.TEXTAFTER(B448, "/", 1), "/", 1))</f>
        <v>chicken</v>
      </c>
      <c r="D448" t="str">
        <f>_xlfn.TEXTBEFORE(_xlfn.TEXTAFTER(A448, "|", 3), "|", 1)</f>
        <v>USA-MI</v>
      </c>
      <c r="E448" t="str">
        <f>_xlfn.TEXTBEFORE(_xlfn.TEXTAFTER(A448, "|", 4), "|", 1)</f>
        <v>2024-12-28</v>
      </c>
    </row>
    <row r="449" spans="1:5" x14ac:dyDescent="0.3">
      <c r="A449" t="s">
        <v>138</v>
      </c>
      <c r="B449" t="str">
        <f>_xlfn.TEXTBEFORE(_xlfn.TEXTAFTER(A449, "|", 1), "|", 1)</f>
        <v>A/American_Black_Duck/ON/FAV-0059-25/2025</v>
      </c>
      <c r="C449" t="str">
        <f>LOWER(_xlfn.TEXTBEFORE(_xlfn.TEXTAFTER(B449, "/", 1), "/", 1))</f>
        <v>american_black_duck</v>
      </c>
      <c r="D449" t="str">
        <f>_xlfn.TEXTBEFORE(_xlfn.TEXTAFTER(A449, "|", 3), "|", 1)</f>
        <v>Canada-ON</v>
      </c>
      <c r="E449" t="str">
        <f>_xlfn.TEXTBEFORE(_xlfn.TEXTAFTER(A449, "|", 4), "|", 1)</f>
        <v>2024-12-29</v>
      </c>
    </row>
    <row r="450" spans="1:5" x14ac:dyDescent="0.3">
      <c r="A450" t="s">
        <v>427</v>
      </c>
      <c r="B450" t="str">
        <f>_xlfn.TEXTBEFORE(_xlfn.TEXTAFTER(A450, "|", 1), "|", 1)</f>
        <v>A/chicken/IA/25-000282-001-original/2025</v>
      </c>
      <c r="C450" t="str">
        <f>LOWER(_xlfn.TEXTBEFORE(_xlfn.TEXTAFTER(B450, "/", 1), "/", 1))</f>
        <v>chicken</v>
      </c>
      <c r="D450" t="str">
        <f>_xlfn.TEXTBEFORE(_xlfn.TEXTAFTER(A450, "|", 3), "|", 1)</f>
        <v>USA-IA</v>
      </c>
      <c r="E450" t="str">
        <f>_xlfn.TEXTBEFORE(_xlfn.TEXTAFTER(A450, "|", 4), "|", 1)</f>
        <v>2025-01-03</v>
      </c>
    </row>
    <row r="451" spans="1:5" x14ac:dyDescent="0.3">
      <c r="A451" t="s">
        <v>423</v>
      </c>
      <c r="B451" t="str">
        <f>_xlfn.TEXTBEFORE(_xlfn.TEXTAFTER(A451, "|", 1), "|", 1)</f>
        <v>A/chicken/DE/25-000536-001-original/2025</v>
      </c>
      <c r="C451" t="str">
        <f>LOWER(_xlfn.TEXTBEFORE(_xlfn.TEXTAFTER(B451, "/", 1), "/", 1))</f>
        <v>chicken</v>
      </c>
      <c r="D451" t="str">
        <f>_xlfn.TEXTBEFORE(_xlfn.TEXTAFTER(A451, "|", 3), "|", 1)</f>
        <v>USA-DE</v>
      </c>
      <c r="E451" t="str">
        <f>_xlfn.TEXTBEFORE(_xlfn.TEXTAFTER(A451, "|", 4), "|", 1)</f>
        <v>2025-01-07</v>
      </c>
    </row>
    <row r="452" spans="1:5" x14ac:dyDescent="0.3">
      <c r="A452" t="s">
        <v>424</v>
      </c>
      <c r="B452" t="str">
        <f>_xlfn.TEXTBEFORE(_xlfn.TEXTAFTER(A452, "|", 1), "|", 1)</f>
        <v>A/chicken/DE/25-000536-002-original/2025</v>
      </c>
      <c r="C452" t="str">
        <f>LOWER(_xlfn.TEXTBEFORE(_xlfn.TEXTAFTER(B452, "/", 1), "/", 1))</f>
        <v>chicken</v>
      </c>
      <c r="D452" t="str">
        <f>_xlfn.TEXTBEFORE(_xlfn.TEXTAFTER(A452, "|", 3), "|", 1)</f>
        <v>USA-DE</v>
      </c>
      <c r="E452" t="str">
        <f>_xlfn.TEXTBEFORE(_xlfn.TEXTAFTER(A452, "|", 4), "|", 1)</f>
        <v>2025-01-07</v>
      </c>
    </row>
    <row r="453" spans="1:5" x14ac:dyDescent="0.3">
      <c r="A453" t="s">
        <v>417</v>
      </c>
      <c r="B453" t="str">
        <f>_xlfn.TEXTBEFORE(_xlfn.TEXTAFTER(A453, "|", 1), "|", 1)</f>
        <v>A/Red-tailed_Hawk/WY/25-002203-001-original/2025</v>
      </c>
      <c r="C453" t="str">
        <f>LOWER(_xlfn.TEXTBEFORE(_xlfn.TEXTAFTER(B453, "/", 1), "/", 1))</f>
        <v>red-tailed_hawk</v>
      </c>
      <c r="D453" t="str">
        <f>_xlfn.TEXTBEFORE(_xlfn.TEXTAFTER(A453, "|", 3), "|", 1)</f>
        <v>USA-WY</v>
      </c>
      <c r="E453" t="str">
        <f>_xlfn.TEXTBEFORE(_xlfn.TEXTAFTER(A453, "|", 4), "|", 1)</f>
        <v>2025-01-07</v>
      </c>
    </row>
    <row r="454" spans="1:5" x14ac:dyDescent="0.3">
      <c r="A454" t="s">
        <v>425</v>
      </c>
      <c r="B454" t="str">
        <f>_xlfn.TEXTBEFORE(_xlfn.TEXTAFTER(A454, "|", 1), "|", 1)</f>
        <v>A/chicken/DE/25-000537-001-original/2025</v>
      </c>
      <c r="C454" t="str">
        <f>LOWER(_xlfn.TEXTBEFORE(_xlfn.TEXTAFTER(B454, "/", 1), "/", 1))</f>
        <v>chicken</v>
      </c>
      <c r="D454" t="str">
        <f>_xlfn.TEXTBEFORE(_xlfn.TEXTAFTER(A454, "|", 3), "|", 1)</f>
        <v>USA-DE</v>
      </c>
      <c r="E454" t="str">
        <f>_xlfn.TEXTBEFORE(_xlfn.TEXTAFTER(A454, "|", 4), "|", 1)</f>
        <v>2025-01-08</v>
      </c>
    </row>
    <row r="455" spans="1:5" x14ac:dyDescent="0.3">
      <c r="A455" t="s">
        <v>426</v>
      </c>
      <c r="B455" t="str">
        <f>_xlfn.TEXTBEFORE(_xlfn.TEXTAFTER(A455, "|", 1), "|", 1)</f>
        <v>A/chicken/DE/25-000537-002-original/2025</v>
      </c>
      <c r="C455" t="str">
        <f>LOWER(_xlfn.TEXTBEFORE(_xlfn.TEXTAFTER(B455, "/", 1), "/", 1))</f>
        <v>chicken</v>
      </c>
      <c r="D455" t="str">
        <f>_xlfn.TEXTBEFORE(_xlfn.TEXTAFTER(A455, "|", 3), "|", 1)</f>
        <v>USA-DE</v>
      </c>
      <c r="E455" t="str">
        <f>_xlfn.TEXTBEFORE(_xlfn.TEXTAFTER(A455, "|", 4), "|", 1)</f>
        <v>2025-01-08</v>
      </c>
    </row>
    <row r="456" spans="1:5" x14ac:dyDescent="0.3">
      <c r="A456" t="s">
        <v>395</v>
      </c>
      <c r="B456" t="str">
        <f>_xlfn.TEXTBEFORE(_xlfn.TEXTAFTER(A456, "|", 1), "|", 1)</f>
        <v>A/Gadwall/SC/25-003031-003-original/2025</v>
      </c>
      <c r="C456" t="str">
        <f>LOWER(_xlfn.TEXTBEFORE(_xlfn.TEXTAFTER(B456, "/", 1), "/", 1))</f>
        <v>gadwall</v>
      </c>
      <c r="D456" t="str">
        <f>_xlfn.TEXTBEFORE(_xlfn.TEXTAFTER(A456, "|", 3), "|", 1)</f>
        <v>USA-SC</v>
      </c>
      <c r="E456" t="str">
        <f>_xlfn.TEXTBEFORE(_xlfn.TEXTAFTER(A456, "|", 4), "|", 1)</f>
        <v>2025-01-11</v>
      </c>
    </row>
    <row r="457" spans="1:5" x14ac:dyDescent="0.3">
      <c r="A457" t="s">
        <v>396</v>
      </c>
      <c r="B457" t="str">
        <f>_xlfn.TEXTBEFORE(_xlfn.TEXTAFTER(A457, "|", 1), "|", 1)</f>
        <v>A/Mallard/MD/25-003141-002-original/2025</v>
      </c>
      <c r="C457" t="str">
        <f>LOWER(_xlfn.TEXTBEFORE(_xlfn.TEXTAFTER(B457, "/", 1), "/", 1))</f>
        <v>mallard</v>
      </c>
      <c r="D457" t="str">
        <f>_xlfn.TEXTBEFORE(_xlfn.TEXTAFTER(A457, "|", 3), "|", 1)</f>
        <v>USA-MD</v>
      </c>
      <c r="E457" t="str">
        <f>_xlfn.TEXTBEFORE(_xlfn.TEXTAFTER(A457, "|", 4), "|", 1)</f>
        <v>2025-01-15</v>
      </c>
    </row>
    <row r="458" spans="1:5" x14ac:dyDescent="0.3">
      <c r="A458" t="s">
        <v>397</v>
      </c>
      <c r="B458" t="str">
        <f>_xlfn.TEXTBEFORE(_xlfn.TEXTAFTER(A458, "|", 1), "|", 1)</f>
        <v>A/Mallard/MD/25-003141-007-original/2025</v>
      </c>
      <c r="C458" t="str">
        <f>LOWER(_xlfn.TEXTBEFORE(_xlfn.TEXTAFTER(B458, "/", 1), "/", 1))</f>
        <v>mallard</v>
      </c>
      <c r="D458" t="str">
        <f>_xlfn.TEXTBEFORE(_xlfn.TEXTAFTER(A458, "|", 3), "|", 1)</f>
        <v>USA-MD</v>
      </c>
      <c r="E458" t="str">
        <f>_xlfn.TEXTBEFORE(_xlfn.TEXTAFTER(A458, "|", 4), "|", 1)</f>
        <v>2025-01-15</v>
      </c>
    </row>
    <row r="459" spans="1:5" x14ac:dyDescent="0.3">
      <c r="A459" t="s">
        <v>112</v>
      </c>
      <c r="B459" t="str">
        <f>_xlfn.TEXTBEFORE(_xlfn.TEXTAFTER(A459, "|", 1), "|", 1)</f>
        <v>A/Red-Tailed_Hawk/ON/FAV-0044-7/2025</v>
      </c>
      <c r="C459" t="str">
        <f>LOWER(_xlfn.TEXTBEFORE(_xlfn.TEXTAFTER(B459, "/", 1), "/", 1))</f>
        <v>red-tailed_hawk</v>
      </c>
      <c r="D459" t="str">
        <f>_xlfn.TEXTBEFORE(_xlfn.TEXTAFTER(A459, "|", 3), "|", 1)</f>
        <v>Canada-ON</v>
      </c>
      <c r="E459" t="str">
        <f>_xlfn.TEXTBEFORE(_xlfn.TEXTAFTER(A459, "|", 4), "|", 1)</f>
        <v>2025-01-17</v>
      </c>
    </row>
    <row r="460" spans="1:5" x14ac:dyDescent="0.3">
      <c r="A460" t="s">
        <v>416</v>
      </c>
      <c r="B460" t="str">
        <f>_xlfn.TEXTBEFORE(_xlfn.TEXTAFTER(A460, "|", 1), "|", 1)</f>
        <v>A/Red-tailed_Hawk/CA/25-003273-004-original/2025</v>
      </c>
      <c r="C460" t="str">
        <f>LOWER(_xlfn.TEXTBEFORE(_xlfn.TEXTAFTER(B460, "/", 1), "/", 1))</f>
        <v>red-tailed_hawk</v>
      </c>
      <c r="D460" t="str">
        <f>_xlfn.TEXTBEFORE(_xlfn.TEXTAFTER(A460, "|", 3), "|", 1)</f>
        <v>USA-CA</v>
      </c>
      <c r="E460" t="str">
        <f>_xlfn.TEXTBEFORE(_xlfn.TEXTAFTER(A460, "|", 4), "|", 1)</f>
        <v>2025-01-17</v>
      </c>
    </row>
    <row r="461" spans="1:5" x14ac:dyDescent="0.3">
      <c r="A461" t="s">
        <v>418</v>
      </c>
      <c r="B461" t="str">
        <f>_xlfn.TEXTBEFORE(_xlfn.TEXTAFTER(A461, "|", 1), "|", 1)</f>
        <v>A/Turkey_Vulture/CA/25-003487-002-original/2025</v>
      </c>
      <c r="C461" t="str">
        <f>LOWER(_xlfn.TEXTBEFORE(_xlfn.TEXTAFTER(B461, "/", 1), "/", 1))</f>
        <v>turkey_vulture</v>
      </c>
      <c r="D461" t="str">
        <f>_xlfn.TEXTBEFORE(_xlfn.TEXTAFTER(A461, "|", 3), "|", 1)</f>
        <v>USA-CA</v>
      </c>
      <c r="E461" t="str">
        <f>_xlfn.TEXTBEFORE(_xlfn.TEXTAFTER(A461, "|", 4), "|", 1)</f>
        <v>2025-01-17</v>
      </c>
    </row>
    <row r="462" spans="1:5" x14ac:dyDescent="0.3">
      <c r="A462" t="s">
        <v>419</v>
      </c>
      <c r="B462" t="str">
        <f>_xlfn.TEXTBEFORE(_xlfn.TEXTAFTER(A462, "|", 1), "|", 1)</f>
        <v>A/Western_Gull/CA/25-003273-006-original/2025</v>
      </c>
      <c r="C462" t="str">
        <f>LOWER(_xlfn.TEXTBEFORE(_xlfn.TEXTAFTER(B462, "/", 1), "/", 1))</f>
        <v>western_gull</v>
      </c>
      <c r="D462" t="str">
        <f>_xlfn.TEXTBEFORE(_xlfn.TEXTAFTER(A462, "|", 3), "|", 1)</f>
        <v>USA-CA</v>
      </c>
      <c r="E462" t="str">
        <f>_xlfn.TEXTBEFORE(_xlfn.TEXTAFTER(A462, "|", 4), "|", 1)</f>
        <v>2025-01-17</v>
      </c>
    </row>
    <row r="463" spans="1:5" x14ac:dyDescent="0.3">
      <c r="A463" t="s">
        <v>398</v>
      </c>
      <c r="B463" t="str">
        <f>_xlfn.TEXTBEFORE(_xlfn.TEXTAFTER(A463, "|", 1), "|", 1)</f>
        <v>A/Mallard/MI/25-002663-001-original/2025</v>
      </c>
      <c r="C463" t="str">
        <f>LOWER(_xlfn.TEXTBEFORE(_xlfn.TEXTAFTER(B463, "/", 1), "/", 1))</f>
        <v>mallard</v>
      </c>
      <c r="D463" t="str">
        <f>_xlfn.TEXTBEFORE(_xlfn.TEXTAFTER(A463, "|", 3), "|", 1)</f>
        <v>USA-MI</v>
      </c>
      <c r="E463" t="str">
        <f>_xlfn.TEXTBEFORE(_xlfn.TEXTAFTER(A463, "|", 4), "|", 1)</f>
        <v>2025-01-17</v>
      </c>
    </row>
    <row r="464" spans="1:5" x14ac:dyDescent="0.3">
      <c r="A464" t="s">
        <v>399</v>
      </c>
      <c r="B464" t="str">
        <f>_xlfn.TEXTBEFORE(_xlfn.TEXTAFTER(A464, "|", 1), "|", 1)</f>
        <v>A/Mallard/MI/25-002663-004-original/2025</v>
      </c>
      <c r="C464" t="str">
        <f>LOWER(_xlfn.TEXTBEFORE(_xlfn.TEXTAFTER(B464, "/", 1), "/", 1))</f>
        <v>mallard</v>
      </c>
      <c r="D464" t="str">
        <f>_xlfn.TEXTBEFORE(_xlfn.TEXTAFTER(A464, "|", 3), "|", 1)</f>
        <v>USA-MI</v>
      </c>
      <c r="E464" t="str">
        <f>_xlfn.TEXTBEFORE(_xlfn.TEXTAFTER(A464, "|", 4), "|", 1)</f>
        <v>2025-01-17</v>
      </c>
    </row>
    <row r="465" spans="1:5" x14ac:dyDescent="0.3">
      <c r="A465" t="s">
        <v>400</v>
      </c>
      <c r="B465" t="str">
        <f>_xlfn.TEXTBEFORE(_xlfn.TEXTAFTER(A465, "|", 1), "|", 1)</f>
        <v>A/Mallard/MI/25-002663-005-original/2025</v>
      </c>
      <c r="C465" t="str">
        <f>LOWER(_xlfn.TEXTBEFORE(_xlfn.TEXTAFTER(B465, "/", 1), "/", 1))</f>
        <v>mallard</v>
      </c>
      <c r="D465" t="str">
        <f>_xlfn.TEXTBEFORE(_xlfn.TEXTAFTER(A465, "|", 3), "|", 1)</f>
        <v>USA-MI</v>
      </c>
      <c r="E465" t="str">
        <f>_xlfn.TEXTBEFORE(_xlfn.TEXTAFTER(A465, "|", 4), "|", 1)</f>
        <v>2025-01-17</v>
      </c>
    </row>
    <row r="466" spans="1:5" x14ac:dyDescent="0.3">
      <c r="A466" t="s">
        <v>401</v>
      </c>
      <c r="B466" t="str">
        <f>_xlfn.TEXTBEFORE(_xlfn.TEXTAFTER(A466, "|", 1), "|", 1)</f>
        <v>A/Mallard/MI/25-002663-006-original/2025</v>
      </c>
      <c r="C466" t="str">
        <f>LOWER(_xlfn.TEXTBEFORE(_xlfn.TEXTAFTER(B466, "/", 1), "/", 1))</f>
        <v>mallard</v>
      </c>
      <c r="D466" t="str">
        <f>_xlfn.TEXTBEFORE(_xlfn.TEXTAFTER(A466, "|", 3), "|", 1)</f>
        <v>USA-MI</v>
      </c>
      <c r="E466" t="str">
        <f>_xlfn.TEXTBEFORE(_xlfn.TEXTAFTER(A466, "|", 4), "|", 1)</f>
        <v>2025-01-17</v>
      </c>
    </row>
    <row r="467" spans="1:5" x14ac:dyDescent="0.3">
      <c r="A467" t="s">
        <v>402</v>
      </c>
      <c r="B467" t="str">
        <f>_xlfn.TEXTBEFORE(_xlfn.TEXTAFTER(A467, "|", 1), "|", 1)</f>
        <v>A/Mallard/MI/25-002663-007-original/2025</v>
      </c>
      <c r="C467" t="str">
        <f>LOWER(_xlfn.TEXTBEFORE(_xlfn.TEXTAFTER(B467, "/", 1), "/", 1))</f>
        <v>mallard</v>
      </c>
      <c r="D467" t="str">
        <f>_xlfn.TEXTBEFORE(_xlfn.TEXTAFTER(A467, "|", 3), "|", 1)</f>
        <v>USA-MI</v>
      </c>
      <c r="E467" t="str">
        <f>_xlfn.TEXTBEFORE(_xlfn.TEXTAFTER(A467, "|", 4), "|", 1)</f>
        <v>2025-01-17</v>
      </c>
    </row>
    <row r="468" spans="1:5" x14ac:dyDescent="0.3">
      <c r="A468" t="s">
        <v>403</v>
      </c>
      <c r="B468" t="str">
        <f>_xlfn.TEXTBEFORE(_xlfn.TEXTAFTER(A468, "|", 1), "|", 1)</f>
        <v>A/Mallard/MI/25-002663-008-original/2025</v>
      </c>
      <c r="C468" t="str">
        <f>LOWER(_xlfn.TEXTBEFORE(_xlfn.TEXTAFTER(B468, "/", 1), "/", 1))</f>
        <v>mallard</v>
      </c>
      <c r="D468" t="str">
        <f>_xlfn.TEXTBEFORE(_xlfn.TEXTAFTER(A468, "|", 3), "|", 1)</f>
        <v>USA-MI</v>
      </c>
      <c r="E468" t="str">
        <f>_xlfn.TEXTBEFORE(_xlfn.TEXTAFTER(A468, "|", 4), "|", 1)</f>
        <v>2025-01-17</v>
      </c>
    </row>
    <row r="469" spans="1:5" x14ac:dyDescent="0.3">
      <c r="A469" t="s">
        <v>404</v>
      </c>
      <c r="B469" t="str">
        <f>_xlfn.TEXTBEFORE(_xlfn.TEXTAFTER(A469, "|", 1), "|", 1)</f>
        <v>A/Mallard/MI/25-002663-010-original/2025</v>
      </c>
      <c r="C469" t="str">
        <f>LOWER(_xlfn.TEXTBEFORE(_xlfn.TEXTAFTER(B469, "/", 1), "/", 1))</f>
        <v>mallard</v>
      </c>
      <c r="D469" t="str">
        <f>_xlfn.TEXTBEFORE(_xlfn.TEXTAFTER(A469, "|", 3), "|", 1)</f>
        <v>USA-MI</v>
      </c>
      <c r="E469" t="str">
        <f>_xlfn.TEXTBEFORE(_xlfn.TEXTAFTER(A469, "|", 4), "|", 1)</f>
        <v>2025-01-17</v>
      </c>
    </row>
    <row r="470" spans="1:5" x14ac:dyDescent="0.3">
      <c r="A470" t="s">
        <v>405</v>
      </c>
      <c r="B470" t="str">
        <f>_xlfn.TEXTBEFORE(_xlfn.TEXTAFTER(A470, "|", 1), "|", 1)</f>
        <v>A/Mallard/MI/25-002663-011-original/2025</v>
      </c>
      <c r="C470" t="str">
        <f>LOWER(_xlfn.TEXTBEFORE(_xlfn.TEXTAFTER(B470, "/", 1), "/", 1))</f>
        <v>mallard</v>
      </c>
      <c r="D470" t="str">
        <f>_xlfn.TEXTBEFORE(_xlfn.TEXTAFTER(A470, "|", 3), "|", 1)</f>
        <v>USA-MI</v>
      </c>
      <c r="E470" t="str">
        <f>_xlfn.TEXTBEFORE(_xlfn.TEXTAFTER(A470, "|", 4), "|", 1)</f>
        <v>2025-01-17</v>
      </c>
    </row>
    <row r="471" spans="1:5" x14ac:dyDescent="0.3">
      <c r="A471" t="s">
        <v>406</v>
      </c>
      <c r="B471" t="str">
        <f>_xlfn.TEXTBEFORE(_xlfn.TEXTAFTER(A471, "|", 1), "|", 1)</f>
        <v>A/Mallard/MI/25-002663-012-original/2025</v>
      </c>
      <c r="C471" t="str">
        <f>LOWER(_xlfn.TEXTBEFORE(_xlfn.TEXTAFTER(B471, "/", 1), "/", 1))</f>
        <v>mallard</v>
      </c>
      <c r="D471" t="str">
        <f>_xlfn.TEXTBEFORE(_xlfn.TEXTAFTER(A471, "|", 3), "|", 1)</f>
        <v>USA-MI</v>
      </c>
      <c r="E471" t="str">
        <f>_xlfn.TEXTBEFORE(_xlfn.TEXTAFTER(A471, "|", 4), "|", 1)</f>
        <v>2025-01-17</v>
      </c>
    </row>
    <row r="472" spans="1:5" x14ac:dyDescent="0.3">
      <c r="A472" t="s">
        <v>407</v>
      </c>
      <c r="B472" t="str">
        <f>_xlfn.TEXTBEFORE(_xlfn.TEXTAFTER(A472, "|", 1), "|", 1)</f>
        <v>A/Mallard/MI/25-002663-013-original/2025</v>
      </c>
      <c r="C472" t="str">
        <f>LOWER(_xlfn.TEXTBEFORE(_xlfn.TEXTAFTER(B472, "/", 1), "/", 1))</f>
        <v>mallard</v>
      </c>
      <c r="D472" t="str">
        <f>_xlfn.TEXTBEFORE(_xlfn.TEXTAFTER(A472, "|", 3), "|", 1)</f>
        <v>USA-MI</v>
      </c>
      <c r="E472" t="str">
        <f>_xlfn.TEXTBEFORE(_xlfn.TEXTAFTER(A472, "|", 4), "|", 1)</f>
        <v>2025-01-17</v>
      </c>
    </row>
    <row r="473" spans="1:5" x14ac:dyDescent="0.3">
      <c r="A473" t="s">
        <v>408</v>
      </c>
      <c r="B473" t="str">
        <f>_xlfn.TEXTBEFORE(_xlfn.TEXTAFTER(A473, "|", 1), "|", 1)</f>
        <v>A/Mallard/MI/25-002663-014-original/2025</v>
      </c>
      <c r="C473" t="str">
        <f>LOWER(_xlfn.TEXTBEFORE(_xlfn.TEXTAFTER(B473, "/", 1), "/", 1))</f>
        <v>mallard</v>
      </c>
      <c r="D473" t="str">
        <f>_xlfn.TEXTBEFORE(_xlfn.TEXTAFTER(A473, "|", 3), "|", 1)</f>
        <v>USA-MI</v>
      </c>
      <c r="E473" t="str">
        <f>_xlfn.TEXTBEFORE(_xlfn.TEXTAFTER(A473, "|", 4), "|", 1)</f>
        <v>2025-01-17</v>
      </c>
    </row>
    <row r="474" spans="1:5" x14ac:dyDescent="0.3">
      <c r="A474" t="s">
        <v>409</v>
      </c>
      <c r="B474" t="str">
        <f>_xlfn.TEXTBEFORE(_xlfn.TEXTAFTER(A474, "|", 1), "|", 1)</f>
        <v>A/Mallard/MI/25-002663-017-original/2025</v>
      </c>
      <c r="C474" t="str">
        <f>LOWER(_xlfn.TEXTBEFORE(_xlfn.TEXTAFTER(B474, "/", 1), "/", 1))</f>
        <v>mallard</v>
      </c>
      <c r="D474" t="str">
        <f>_xlfn.TEXTBEFORE(_xlfn.TEXTAFTER(A474, "|", 3), "|", 1)</f>
        <v>USA-MI</v>
      </c>
      <c r="E474" t="str">
        <f>_xlfn.TEXTBEFORE(_xlfn.TEXTAFTER(A474, "|", 4), "|", 1)</f>
        <v>2025-01-17</v>
      </c>
    </row>
    <row r="475" spans="1:5" x14ac:dyDescent="0.3">
      <c r="A475" t="s">
        <v>410</v>
      </c>
      <c r="B475" t="str">
        <f>_xlfn.TEXTBEFORE(_xlfn.TEXTAFTER(A475, "|", 1), "|", 1)</f>
        <v>A/Mallard/MI/25-002663-026-original/2025</v>
      </c>
      <c r="C475" t="str">
        <f>LOWER(_xlfn.TEXTBEFORE(_xlfn.TEXTAFTER(B475, "/", 1), "/", 1))</f>
        <v>mallard</v>
      </c>
      <c r="D475" t="str">
        <f>_xlfn.TEXTBEFORE(_xlfn.TEXTAFTER(A475, "|", 3), "|", 1)</f>
        <v>USA-MI</v>
      </c>
      <c r="E475" t="str">
        <f>_xlfn.TEXTBEFORE(_xlfn.TEXTAFTER(A475, "|", 4), "|", 1)</f>
        <v>2025-01-17</v>
      </c>
    </row>
    <row r="476" spans="1:5" x14ac:dyDescent="0.3">
      <c r="A476" t="s">
        <v>411</v>
      </c>
      <c r="B476" t="str">
        <f>_xlfn.TEXTBEFORE(_xlfn.TEXTAFTER(A476, "|", 1), "|", 1)</f>
        <v>A/Mallard/MI/25-002663-030-original/2025</v>
      </c>
      <c r="C476" t="str">
        <f>LOWER(_xlfn.TEXTBEFORE(_xlfn.TEXTAFTER(B476, "/", 1), "/", 1))</f>
        <v>mallard</v>
      </c>
      <c r="D476" t="str">
        <f>_xlfn.TEXTBEFORE(_xlfn.TEXTAFTER(A476, "|", 3), "|", 1)</f>
        <v>USA-MI</v>
      </c>
      <c r="E476" t="str">
        <f>_xlfn.TEXTBEFORE(_xlfn.TEXTAFTER(A476, "|", 4), "|", 1)</f>
        <v>2025-01-17</v>
      </c>
    </row>
    <row r="477" spans="1:5" x14ac:dyDescent="0.3">
      <c r="A477" t="s">
        <v>412</v>
      </c>
      <c r="B477" t="str">
        <f>_xlfn.TEXTBEFORE(_xlfn.TEXTAFTER(A477, "|", 1), "|", 1)</f>
        <v>A/Mallard/MI/25-002663-031-original/2025</v>
      </c>
      <c r="C477" t="str">
        <f>LOWER(_xlfn.TEXTBEFORE(_xlfn.TEXTAFTER(B477, "/", 1), "/", 1))</f>
        <v>mallard</v>
      </c>
      <c r="D477" t="str">
        <f>_xlfn.TEXTBEFORE(_xlfn.TEXTAFTER(A477, "|", 3), "|", 1)</f>
        <v>USA-MI</v>
      </c>
      <c r="E477" t="str">
        <f>_xlfn.TEXTBEFORE(_xlfn.TEXTAFTER(A477, "|", 4), "|", 1)</f>
        <v>2025-01-17</v>
      </c>
    </row>
    <row r="478" spans="1:5" x14ac:dyDescent="0.3">
      <c r="A478" t="s">
        <v>413</v>
      </c>
      <c r="B478" t="str">
        <f>_xlfn.TEXTBEFORE(_xlfn.TEXTAFTER(A478, "|", 1), "|", 1)</f>
        <v>A/Mallard/MI/25-002663-032-original/2025</v>
      </c>
      <c r="C478" t="str">
        <f>LOWER(_xlfn.TEXTBEFORE(_xlfn.TEXTAFTER(B478, "/", 1), "/", 1))</f>
        <v>mallard</v>
      </c>
      <c r="D478" t="str">
        <f>_xlfn.TEXTBEFORE(_xlfn.TEXTAFTER(A478, "|", 3), "|", 1)</f>
        <v>USA-MI</v>
      </c>
      <c r="E478" t="str">
        <f>_xlfn.TEXTBEFORE(_xlfn.TEXTAFTER(A478, "|", 4), "|", 1)</f>
        <v>2025-01-17</v>
      </c>
    </row>
    <row r="479" spans="1:5" x14ac:dyDescent="0.3">
      <c r="A479" t="s">
        <v>414</v>
      </c>
      <c r="B479" t="str">
        <f>_xlfn.TEXTBEFORE(_xlfn.TEXTAFTER(A479, "|", 1), "|", 1)</f>
        <v>A/Mallard/MI/25-002663-033-original/2025</v>
      </c>
      <c r="C479" t="str">
        <f>LOWER(_xlfn.TEXTBEFORE(_xlfn.TEXTAFTER(B479, "/", 1), "/", 1))</f>
        <v>mallard</v>
      </c>
      <c r="D479" t="str">
        <f>_xlfn.TEXTBEFORE(_xlfn.TEXTAFTER(A479, "|", 3), "|", 1)</f>
        <v>USA-MI</v>
      </c>
      <c r="E479" t="str">
        <f>_xlfn.TEXTBEFORE(_xlfn.TEXTAFTER(A479, "|", 4), "|", 1)</f>
        <v>2025-01-17</v>
      </c>
    </row>
    <row r="480" spans="1:5" x14ac:dyDescent="0.3">
      <c r="A480" t="s">
        <v>415</v>
      </c>
      <c r="B480" t="str">
        <f>_xlfn.TEXTBEFORE(_xlfn.TEXTAFTER(A480, "|", 1), "|", 1)</f>
        <v>A/Mallard/MI/25-002663-034-original/2025</v>
      </c>
      <c r="C480" t="str">
        <f>LOWER(_xlfn.TEXTBEFORE(_xlfn.TEXTAFTER(B480, "/", 1), "/", 1))</f>
        <v>mallard</v>
      </c>
      <c r="D480" t="str">
        <f>_xlfn.TEXTBEFORE(_xlfn.TEXTAFTER(A480, "|", 3), "|", 1)</f>
        <v>USA-MI</v>
      </c>
      <c r="E480" t="str">
        <f>_xlfn.TEXTBEFORE(_xlfn.TEXTAFTER(A480, "|", 4), "|", 1)</f>
        <v>2025-01-17</v>
      </c>
    </row>
    <row r="481" spans="1:5" x14ac:dyDescent="0.3">
      <c r="A481" t="s">
        <v>34</v>
      </c>
      <c r="B481" t="str">
        <f>_xlfn.TEXTBEFORE(_xlfn.TEXTAFTER(A481, "|", 1), "|", 1)</f>
        <v>A/house_mouse/Missouri/003474-005/2025</v>
      </c>
      <c r="C481" t="str">
        <f>LOWER(_xlfn.TEXTBEFORE(_xlfn.TEXTAFTER(B481, "/", 1), "/", 1))</f>
        <v>house_mouse</v>
      </c>
      <c r="D481" t="str">
        <f>_xlfn.TEXTBEFORE(_xlfn.TEXTAFTER(A481, "|", 3), "|", 1)</f>
        <v>USA-MO</v>
      </c>
      <c r="E481" t="str">
        <f>_xlfn.TEXTBEFORE(_xlfn.TEXTAFTER(A481, "|", 4), "|", 1)</f>
        <v>2025-01-21</v>
      </c>
    </row>
    <row r="482" spans="1:5" x14ac:dyDescent="0.3">
      <c r="A482" t="s">
        <v>394</v>
      </c>
      <c r="B482" t="str">
        <f>_xlfn.TEXTBEFORE(_xlfn.TEXTAFTER(A482, "|", 1), "|", 1)</f>
        <v>A/Bald_Eagle/MI/25-003067-004-original/2025</v>
      </c>
      <c r="C482" t="str">
        <f>LOWER(_xlfn.TEXTBEFORE(_xlfn.TEXTAFTER(B482, "/", 1), "/", 1))</f>
        <v>bald_eagle</v>
      </c>
      <c r="D482" t="str">
        <f>_xlfn.TEXTBEFORE(_xlfn.TEXTAFTER(A482, "|", 3), "|", 1)</f>
        <v>USA-MI</v>
      </c>
      <c r="E482" t="str">
        <f>_xlfn.TEXTBEFORE(_xlfn.TEXTAFTER(A482, "|", 4), "|", 1)</f>
        <v>2025-01-23</v>
      </c>
    </row>
    <row r="483" spans="1:5" x14ac:dyDescent="0.3">
      <c r="A483" t="s">
        <v>378</v>
      </c>
      <c r="B483" t="str">
        <f>_xlfn.TEXTBEFORE(_xlfn.TEXTAFTER(A483, "|", 1), "|", 1)</f>
        <v>A/Crow/OH/25-004431-001-original/2025</v>
      </c>
      <c r="C483" t="str">
        <f>LOWER(_xlfn.TEXTBEFORE(_xlfn.TEXTAFTER(B483, "/", 1), "/", 1))</f>
        <v>crow</v>
      </c>
      <c r="D483" t="str">
        <f>_xlfn.TEXTBEFORE(_xlfn.TEXTAFTER(A483, "|", 3), "|", 1)</f>
        <v>USA-OH</v>
      </c>
      <c r="E483" t="str">
        <f>_xlfn.TEXTBEFORE(_xlfn.TEXTAFTER(A483, "|", 4), "|", 1)</f>
        <v>2025-01-27</v>
      </c>
    </row>
    <row r="484" spans="1:5" x14ac:dyDescent="0.3">
      <c r="A484" t="s">
        <v>362</v>
      </c>
      <c r="B484" t="str">
        <f>_xlfn.TEXTBEFORE(_xlfn.TEXTAFTER(A484, "|", 1), "|", 1)</f>
        <v>A/Red-tailed_Hawk/MO/25-004415-008-original/2025</v>
      </c>
      <c r="C484" t="str">
        <f>LOWER(_xlfn.TEXTBEFORE(_xlfn.TEXTAFTER(B484, "/", 1), "/", 1))</f>
        <v>red-tailed_hawk</v>
      </c>
      <c r="D484" t="str">
        <f>_xlfn.TEXTBEFORE(_xlfn.TEXTAFTER(A484, "|", 3), "|", 1)</f>
        <v>USA-MO</v>
      </c>
      <c r="E484" t="str">
        <f>_xlfn.TEXTBEFORE(_xlfn.TEXTAFTER(A484, "|", 4), "|", 1)</f>
        <v>2025-01-28</v>
      </c>
    </row>
    <row r="485" spans="1:5" x14ac:dyDescent="0.3">
      <c r="A485" t="s">
        <v>382</v>
      </c>
      <c r="B485" t="str">
        <f>_xlfn.TEXTBEFORE(_xlfn.TEXTAFTER(A485, "|", 1), "|", 1)</f>
        <v>A/Fox/ND/25-004517-001-original/2025</v>
      </c>
      <c r="C485" t="str">
        <f>LOWER(_xlfn.TEXTBEFORE(_xlfn.TEXTAFTER(B485, "/", 1), "/", 1))</f>
        <v>fox</v>
      </c>
      <c r="D485" t="str">
        <f>_xlfn.TEXTBEFORE(_xlfn.TEXTAFTER(A485, "|", 3), "|", 1)</f>
        <v>USA-ND</v>
      </c>
      <c r="E485" t="str">
        <f>_xlfn.TEXTBEFORE(_xlfn.TEXTAFTER(A485, "|", 4), "|", 1)</f>
        <v>2025-01-28</v>
      </c>
    </row>
    <row r="486" spans="1:5" x14ac:dyDescent="0.3">
      <c r="A486" t="s">
        <v>370</v>
      </c>
      <c r="B486" t="str">
        <f>_xlfn.TEXTBEFORE(_xlfn.TEXTAFTER(A486, "|", 1), "|", 1)</f>
        <v>A/Mallard/MD/25-005882-003-original/2025</v>
      </c>
      <c r="C486" t="str">
        <f>LOWER(_xlfn.TEXTBEFORE(_xlfn.TEXTAFTER(B486, "/", 1), "/", 1))</f>
        <v>mallard</v>
      </c>
      <c r="D486" t="str">
        <f>_xlfn.TEXTBEFORE(_xlfn.TEXTAFTER(A486, "|", 3), "|", 1)</f>
        <v>USA-MD</v>
      </c>
      <c r="E486" t="str">
        <f>_xlfn.TEXTBEFORE(_xlfn.TEXTAFTER(A486, "|", 4), "|", 1)</f>
        <v>2025-01-30</v>
      </c>
    </row>
    <row r="487" spans="1:5" x14ac:dyDescent="0.3">
      <c r="A487" t="s">
        <v>371</v>
      </c>
      <c r="B487" t="str">
        <f>_xlfn.TEXTBEFORE(_xlfn.TEXTAFTER(A487, "|", 1), "|", 1)</f>
        <v>A/Mallard/MD/25-005882-009-original/2025</v>
      </c>
      <c r="C487" t="str">
        <f>LOWER(_xlfn.TEXTBEFORE(_xlfn.TEXTAFTER(B487, "/", 1), "/", 1))</f>
        <v>mallard</v>
      </c>
      <c r="D487" t="str">
        <f>_xlfn.TEXTBEFORE(_xlfn.TEXTAFTER(A487, "|", 3), "|", 1)</f>
        <v>USA-MD</v>
      </c>
      <c r="E487" t="str">
        <f>_xlfn.TEXTBEFORE(_xlfn.TEXTAFTER(A487, "|", 4), "|", 1)</f>
        <v>2025-01-30</v>
      </c>
    </row>
    <row r="488" spans="1:5" x14ac:dyDescent="0.3">
      <c r="A488" t="s">
        <v>383</v>
      </c>
      <c r="B488" t="str">
        <f>_xlfn.TEXTBEFORE(_xlfn.TEXTAFTER(A488, "|", 1), "|", 1)</f>
        <v>A/Mallard/MD/25-005882-006-original/2025</v>
      </c>
      <c r="C488" t="str">
        <f>LOWER(_xlfn.TEXTBEFORE(_xlfn.TEXTAFTER(B488, "/", 1), "/", 1))</f>
        <v>mallard</v>
      </c>
      <c r="D488" t="str">
        <f>_xlfn.TEXTBEFORE(_xlfn.TEXTAFTER(A488, "|", 3), "|", 1)</f>
        <v>USA-MD</v>
      </c>
      <c r="E488" t="str">
        <f>_xlfn.TEXTBEFORE(_xlfn.TEXTAFTER(A488, "|", 4), "|", 1)</f>
        <v>2025-01-30</v>
      </c>
    </row>
    <row r="489" spans="1:5" x14ac:dyDescent="0.3">
      <c r="A489" t="s">
        <v>351</v>
      </c>
      <c r="B489" t="str">
        <f>_xlfn.TEXTBEFORE(_xlfn.TEXTAFTER(A489, "|", 1), "|", 1)</f>
        <v>A/American_Crow/WI/25-005028-001-original/2025</v>
      </c>
      <c r="C489" t="str">
        <f>LOWER(_xlfn.TEXTBEFORE(_xlfn.TEXTAFTER(B489, "/", 1), "/", 1))</f>
        <v>american_crow</v>
      </c>
      <c r="D489" t="str">
        <f>_xlfn.TEXTBEFORE(_xlfn.TEXTAFTER(A489, "|", 3), "|", 1)</f>
        <v>USA-WI</v>
      </c>
      <c r="E489" t="str">
        <f>_xlfn.TEXTBEFORE(_xlfn.TEXTAFTER(A489, "|", 4), "|", 1)</f>
        <v>2025-02-06</v>
      </c>
    </row>
    <row r="490" spans="1:5" x14ac:dyDescent="0.3">
      <c r="A490" t="s">
        <v>353</v>
      </c>
      <c r="B490" t="str">
        <f>_xlfn.TEXTBEFORE(_xlfn.TEXTAFTER(A490, "|", 1), "|", 1)</f>
        <v>A/Barred_Owl/WI/25-005028-002-original/2025</v>
      </c>
      <c r="C490" t="str">
        <f>LOWER(_xlfn.TEXTBEFORE(_xlfn.TEXTAFTER(B490, "/", 1), "/", 1))</f>
        <v>barred_owl</v>
      </c>
      <c r="D490" t="str">
        <f>_xlfn.TEXTBEFORE(_xlfn.TEXTAFTER(A490, "|", 3), "|", 1)</f>
        <v>USA-WI</v>
      </c>
      <c r="E490" t="str">
        <f>_xlfn.TEXTBEFORE(_xlfn.TEXTAFTER(A490, "|", 4), "|", 1)</f>
        <v>2025-02-06</v>
      </c>
    </row>
    <row r="491" spans="1:5" x14ac:dyDescent="0.3">
      <c r="A491" t="s">
        <v>349</v>
      </c>
      <c r="B491" t="str">
        <f>_xlfn.TEXTBEFORE(_xlfn.TEXTAFTER(A491, "|", 1), "|", 1)</f>
        <v>A/Bald_Eagle/NC/25-005228-001-original/2025</v>
      </c>
      <c r="C491" t="str">
        <f>LOWER(_xlfn.TEXTBEFORE(_xlfn.TEXTAFTER(B491, "/", 1), "/", 1))</f>
        <v>bald_eagle</v>
      </c>
      <c r="D491" t="str">
        <f>_xlfn.TEXTBEFORE(_xlfn.TEXTAFTER(A491, "|", 3), "|", 1)</f>
        <v>USA-NC</v>
      </c>
      <c r="E491" t="str">
        <f>_xlfn.TEXTBEFORE(_xlfn.TEXTAFTER(A491, "|", 4), "|", 1)</f>
        <v>2025-02-08</v>
      </c>
    </row>
    <row r="492" spans="1:5" x14ac:dyDescent="0.3">
      <c r="A492" t="s">
        <v>352</v>
      </c>
      <c r="B492" t="str">
        <f>_xlfn.TEXTBEFORE(_xlfn.TEXTAFTER(A492, "|", 1), "|", 1)</f>
        <v>A/Bald_Eagle/AL/25-006076-001-original/2025</v>
      </c>
      <c r="C492" t="str">
        <f>LOWER(_xlfn.TEXTBEFORE(_xlfn.TEXTAFTER(B492, "/", 1), "/", 1))</f>
        <v>bald_eagle</v>
      </c>
      <c r="D492" t="str">
        <f>_xlfn.TEXTBEFORE(_xlfn.TEXTAFTER(A492, "|", 3), "|", 1)</f>
        <v>USA-AL</v>
      </c>
      <c r="E492" t="str">
        <f>_xlfn.TEXTBEFORE(_xlfn.TEXTAFTER(A492, "|", 4), "|", 1)</f>
        <v>2025-02-12</v>
      </c>
    </row>
    <row r="493" spans="1:5" x14ac:dyDescent="0.3">
      <c r="A493" t="s">
        <v>364</v>
      </c>
      <c r="B493" t="str">
        <f>_xlfn.TEXTBEFORE(_xlfn.TEXTAFTER(A493, "|", 1), "|", 1)</f>
        <v>A/Bald_Eagle/AL/25-006076-002-original/2025</v>
      </c>
      <c r="C493" t="str">
        <f>LOWER(_xlfn.TEXTBEFORE(_xlfn.TEXTAFTER(B493, "/", 1), "/", 1))</f>
        <v>bald_eagle</v>
      </c>
      <c r="D493" t="str">
        <f>_xlfn.TEXTBEFORE(_xlfn.TEXTAFTER(A493, "|", 3), "|", 1)</f>
        <v>USA-AL</v>
      </c>
      <c r="E493" t="str">
        <f>_xlfn.TEXTBEFORE(_xlfn.TEXTAFTER(A493, "|", 4), "|", 1)</f>
        <v>2025-02-12</v>
      </c>
    </row>
    <row r="494" spans="1:5" x14ac:dyDescent="0.3">
      <c r="A494" t="s">
        <v>386</v>
      </c>
      <c r="B494" t="str">
        <f>_xlfn.TEXTBEFORE(_xlfn.TEXTAFTER(A494, "|", 1), "|", 1)</f>
        <v>A/Mallard/Tennessee/767/2025</v>
      </c>
      <c r="C494" t="str">
        <f>LOWER(_xlfn.TEXTBEFORE(_xlfn.TEXTAFTER(B494, "/", 1), "/", 1))</f>
        <v>mallard</v>
      </c>
      <c r="D494" t="str">
        <f>_xlfn.TEXTBEFORE(_xlfn.TEXTAFTER(A494, "|", 3), "|", 1)</f>
        <v>USA-TN</v>
      </c>
      <c r="E494" t="str">
        <f>_xlfn.TEXTBEFORE(_xlfn.TEXTAFTER(A494, "|", 4), "|", 1)</f>
        <v>2025-02-13</v>
      </c>
    </row>
    <row r="495" spans="1:5" x14ac:dyDescent="0.3">
      <c r="A495" t="s">
        <v>365</v>
      </c>
      <c r="B495" t="str">
        <f>_xlfn.TEXTBEFORE(_xlfn.TEXTAFTER(A495, "|", 1), "|", 1)</f>
        <v>A/Bald_Eagle/PA/25-009337-001-original/2025</v>
      </c>
      <c r="C495" t="str">
        <f>LOWER(_xlfn.TEXTBEFORE(_xlfn.TEXTAFTER(B495, "/", 1), "/", 1))</f>
        <v>bald_eagle</v>
      </c>
      <c r="D495" t="str">
        <f>_xlfn.TEXTBEFORE(_xlfn.TEXTAFTER(A495, "|", 3), "|", 1)</f>
        <v>USA-PA</v>
      </c>
      <c r="E495" t="str">
        <f>_xlfn.TEXTBEFORE(_xlfn.TEXTAFTER(A495, "|", 4), "|", 1)</f>
        <v>2025-02-27</v>
      </c>
    </row>
    <row r="496" spans="1:5" x14ac:dyDescent="0.3">
      <c r="A496" t="s">
        <v>348</v>
      </c>
      <c r="B496" t="str">
        <f>_xlfn.TEXTBEFORE(_xlfn.TEXTAFTER(A496, "|", 1), "|", 1)</f>
        <v>A/Bald_Eagle/AL/25-008364-001-original/2025</v>
      </c>
      <c r="C496" t="str">
        <f>LOWER(_xlfn.TEXTBEFORE(_xlfn.TEXTAFTER(B496, "/", 1), "/", 1))</f>
        <v>bald_eagle</v>
      </c>
      <c r="D496" t="str">
        <f>_xlfn.TEXTBEFORE(_xlfn.TEXTAFTER(A496, "|", 3), "|", 1)</f>
        <v>USA-AL</v>
      </c>
      <c r="E496" t="str">
        <f>_xlfn.TEXTBEFORE(_xlfn.TEXTAFTER(A496, "|", 4), "|", 1)</f>
        <v>2025-03-01</v>
      </c>
    </row>
    <row r="497" spans="1:5" x14ac:dyDescent="0.3">
      <c r="A497" t="s">
        <v>369</v>
      </c>
      <c r="B497" t="str">
        <f>_xlfn.TEXTBEFORE(_xlfn.TEXTAFTER(A497, "|", 1), "|", 1)</f>
        <v>A/Hawk/OR/25-014764-001-original/2025</v>
      </c>
      <c r="C497" t="str">
        <f>LOWER(_xlfn.TEXTBEFORE(_xlfn.TEXTAFTER(B497, "/", 1), "/", 1))</f>
        <v>hawk</v>
      </c>
      <c r="D497" t="str">
        <f>_xlfn.TEXTBEFORE(_xlfn.TEXTAFTER(A497, "|", 3), "|", 1)</f>
        <v>USA-OR</v>
      </c>
      <c r="E497" t="str">
        <f>_xlfn.TEXTBEFORE(_xlfn.TEXTAFTER(A497, "|", 4), "|", 1)</f>
        <v>2025-03-10</v>
      </c>
    </row>
    <row r="498" spans="1:5" x14ac:dyDescent="0.3">
      <c r="A498" t="s">
        <v>372</v>
      </c>
      <c r="B498" t="str">
        <f>_xlfn.TEXTBEFORE(_xlfn.TEXTAFTER(A498, "|", 1), "|", 1)</f>
        <v>A/Grackle/OK/25-009017-003-original/2025</v>
      </c>
      <c r="C498" t="str">
        <f>LOWER(_xlfn.TEXTBEFORE(_xlfn.TEXTAFTER(B498, "/", 1), "/", 1))</f>
        <v>grackle</v>
      </c>
      <c r="D498" t="str">
        <f>_xlfn.TEXTBEFORE(_xlfn.TEXTAFTER(A498, "|", 3), "|", 1)</f>
        <v>USA-OK</v>
      </c>
      <c r="E498" t="str">
        <f>_xlfn.TEXTBEFORE(_xlfn.TEXTAFTER(A498, "|", 4), "|", 1)</f>
        <v>2025-03-12</v>
      </c>
    </row>
    <row r="499" spans="1:5" x14ac:dyDescent="0.3">
      <c r="A499" t="s">
        <v>354</v>
      </c>
      <c r="B499" t="str">
        <f>_xlfn.TEXTBEFORE(_xlfn.TEXTAFTER(A499, "|", 1), "|", 1)</f>
        <v>A/Common_Raven/AK/25-010464-001-original/2025</v>
      </c>
      <c r="C499" t="str">
        <f>LOWER(_xlfn.TEXTBEFORE(_xlfn.TEXTAFTER(B499, "/", 1), "/", 1))</f>
        <v>common_raven</v>
      </c>
      <c r="D499" t="str">
        <f>_xlfn.TEXTBEFORE(_xlfn.TEXTAFTER(A499, "|", 3), "|", 1)</f>
        <v>USA-AK</v>
      </c>
      <c r="E499" t="str">
        <f>_xlfn.TEXTBEFORE(_xlfn.TEXTAFTER(A499, "|", 4), "|", 1)</f>
        <v>2025-03-17</v>
      </c>
    </row>
    <row r="500" spans="1:5" x14ac:dyDescent="0.3">
      <c r="A500" t="s">
        <v>373</v>
      </c>
      <c r="B500" t="str">
        <f>_xlfn.TEXTBEFORE(_xlfn.TEXTAFTER(A500, "|", 1), "|", 1)</f>
        <v>A/Red-tailed_Hawk/MN/25-010511-001-original/2025</v>
      </c>
      <c r="C500" t="str">
        <f>LOWER(_xlfn.TEXTBEFORE(_xlfn.TEXTAFTER(B500, "/", 1), "/", 1))</f>
        <v>red-tailed_hawk</v>
      </c>
      <c r="D500" t="str">
        <f>_xlfn.TEXTBEFORE(_xlfn.TEXTAFTER(A500, "|", 3), "|", 1)</f>
        <v>USA-MN</v>
      </c>
      <c r="E500" t="str">
        <f>_xlfn.TEXTBEFORE(_xlfn.TEXTAFTER(A500, "|", 4), "|", 1)</f>
        <v>2025-03-21</v>
      </c>
    </row>
    <row r="501" spans="1:5" x14ac:dyDescent="0.3">
      <c r="A501" t="s">
        <v>361</v>
      </c>
      <c r="B501" t="str">
        <f>_xlfn.TEXTBEFORE(_xlfn.TEXTAFTER(A501, "|", 1), "|", 1)</f>
        <v>A/Red-tailed_Hawk/MN/25-010511-002-original/2025</v>
      </c>
      <c r="C501" t="str">
        <f>LOWER(_xlfn.TEXTBEFORE(_xlfn.TEXTAFTER(B501, "/", 1), "/", 1))</f>
        <v>red-tailed_hawk</v>
      </c>
      <c r="D501" t="str">
        <f>_xlfn.TEXTBEFORE(_xlfn.TEXTAFTER(A501, "|", 3), "|", 1)</f>
        <v>USA-MN</v>
      </c>
      <c r="E501" t="str">
        <f>_xlfn.TEXTBEFORE(_xlfn.TEXTAFTER(A501, "|", 4), "|", 1)</f>
        <v>2025-03-22</v>
      </c>
    </row>
    <row r="502" spans="1:5" x14ac:dyDescent="0.3">
      <c r="A502" t="s">
        <v>360</v>
      </c>
      <c r="B502" t="str">
        <f>_xlfn.TEXTBEFORE(_xlfn.TEXTAFTER(A502, "|", 1), "|", 1)</f>
        <v>A/Great_Horned_Owl/NY/25-011423-001-original/2025</v>
      </c>
      <c r="C502" t="str">
        <f>LOWER(_xlfn.TEXTBEFORE(_xlfn.TEXTAFTER(B502, "/", 1), "/", 1))</f>
        <v>great_horned_owl</v>
      </c>
      <c r="D502" t="str">
        <f>_xlfn.TEXTBEFORE(_xlfn.TEXTAFTER(A502, "|", 3), "|", 1)</f>
        <v>USA-NY</v>
      </c>
      <c r="E502" t="str">
        <f>_xlfn.TEXTBEFORE(_xlfn.TEXTAFTER(A502, "|", 4), "|", 1)</f>
        <v>2025-03-31</v>
      </c>
    </row>
    <row r="503" spans="1:5" x14ac:dyDescent="0.3">
      <c r="A503" t="s">
        <v>347</v>
      </c>
      <c r="B503" t="str">
        <f>_xlfn.TEXTBEFORE(_xlfn.TEXTAFTER(A503, "|", 1), "|", 1)</f>
        <v>A/American_Crow/MI/25-011667-002-original/2025</v>
      </c>
      <c r="C503" t="str">
        <f>LOWER(_xlfn.TEXTBEFORE(_xlfn.TEXTAFTER(B503, "/", 1), "/", 1))</f>
        <v>american_crow</v>
      </c>
      <c r="D503" t="str">
        <f>_xlfn.TEXTBEFORE(_xlfn.TEXTAFTER(A503, "|", 3), "|", 1)</f>
        <v>USA-MI</v>
      </c>
      <c r="E503" t="str">
        <f>_xlfn.TEXTBEFORE(_xlfn.TEXTAFTER(A503, "|", 4), "|", 1)</f>
        <v>2025-04-04</v>
      </c>
    </row>
    <row r="504" spans="1:5" x14ac:dyDescent="0.3">
      <c r="A504" t="s">
        <v>375</v>
      </c>
      <c r="B504" t="str">
        <f>_xlfn.TEXTBEFORE(_xlfn.TEXTAFTER(A504, "|", 1), "|", 1)</f>
        <v>A/American_Crow/MI/25-011667-003-original/2025</v>
      </c>
      <c r="C504" t="str">
        <f>LOWER(_xlfn.TEXTBEFORE(_xlfn.TEXTAFTER(B504, "/", 1), "/", 1))</f>
        <v>american_crow</v>
      </c>
      <c r="D504" t="str">
        <f>_xlfn.TEXTBEFORE(_xlfn.TEXTAFTER(A504, "|", 3), "|", 1)</f>
        <v>USA-MI</v>
      </c>
      <c r="E504" t="str">
        <f>_xlfn.TEXTBEFORE(_xlfn.TEXTAFTER(A504, "|", 4), "|", 1)</f>
        <v>2025-04-04</v>
      </c>
    </row>
    <row r="505" spans="1:5" x14ac:dyDescent="0.3">
      <c r="A505" t="s">
        <v>374</v>
      </c>
      <c r="B505" t="str">
        <f>_xlfn.TEXTBEFORE(_xlfn.TEXTAFTER(A505, "|", 1), "|", 1)</f>
        <v>A/Trumpeter_Swan/IA/25-011816-002-original-repeat/2025</v>
      </c>
      <c r="C505" t="str">
        <f>LOWER(_xlfn.TEXTBEFORE(_xlfn.TEXTAFTER(B505, "/", 1), "/", 1))</f>
        <v>trumpeter_swan</v>
      </c>
      <c r="D505" t="str">
        <f>_xlfn.TEXTBEFORE(_xlfn.TEXTAFTER(A505, "|", 3), "|", 1)</f>
        <v>USA-IA</v>
      </c>
      <c r="E505" t="str">
        <f>_xlfn.TEXTBEFORE(_xlfn.TEXTAFTER(A505, "|", 4), "|", 1)</f>
        <v>2025-04-08</v>
      </c>
    </row>
    <row r="506" spans="1:5" x14ac:dyDescent="0.3">
      <c r="A506" t="s">
        <v>543</v>
      </c>
      <c r="B506" t="str">
        <f>_xlfn.TEXTBEFORE(_xlfn.TEXTAFTER(A506, "|", 1), "|", 1)</f>
        <v>A/Turkey_Vulture/MT/25-013489-001-original-repeat2/2025</v>
      </c>
      <c r="C506" t="str">
        <f>LOWER(_xlfn.TEXTBEFORE(_xlfn.TEXTAFTER(B506, "/", 1), "/", 1))</f>
        <v>turkey_vulture</v>
      </c>
      <c r="D506" t="str">
        <f>_xlfn.TEXTBEFORE(_xlfn.TEXTAFTER(A506, "|", 3), "|", 1)</f>
        <v>USA-MT</v>
      </c>
      <c r="E506" t="str">
        <f>_xlfn.TEXTBEFORE(_xlfn.TEXTAFTER(A506, "|", 4), "|", 1)</f>
        <v>2025-04-19</v>
      </c>
    </row>
    <row r="507" spans="1:5" x14ac:dyDescent="0.3">
      <c r="A507" t="s">
        <v>368</v>
      </c>
      <c r="B507" t="str">
        <f>_xlfn.TEXTBEFORE(_xlfn.TEXTAFTER(A507, "|", 1), "|", 1)</f>
        <v>A/Glaucous_Gull/AK/25-024616-002-original/2025</v>
      </c>
      <c r="C507" t="str">
        <f>LOWER(_xlfn.TEXTBEFORE(_xlfn.TEXTAFTER(B507, "/", 1), "/", 1))</f>
        <v>glaucous_gull</v>
      </c>
      <c r="D507" t="str">
        <f>_xlfn.TEXTBEFORE(_xlfn.TEXTAFTER(A507, "|", 3), "|", 1)</f>
        <v>USA-AK</v>
      </c>
      <c r="E507" t="str">
        <f>_xlfn.TEXTBEFORE(_xlfn.TEXTAFTER(A507, "|", 4), "|", 1)</f>
        <v>2025-08-20</v>
      </c>
    </row>
    <row r="508" spans="1:5" x14ac:dyDescent="0.3">
      <c r="A508" t="s">
        <v>331</v>
      </c>
      <c r="B508" t="str">
        <f>_xlfn.TEXTBEFORE(_xlfn.TEXTAFTER(A508, "|", 1), "|", 1)</f>
        <v>A/Northern_Pintail/AK/25G06439-005-original/2025</v>
      </c>
      <c r="C508" t="str">
        <f>LOWER(_xlfn.TEXTBEFORE(_xlfn.TEXTAFTER(B508, "/", 1), "/", 1))</f>
        <v>northern_pintail</v>
      </c>
      <c r="D508" t="str">
        <f>_xlfn.TEXTBEFORE(_xlfn.TEXTAFTER(A508, "|", 3), "|", 1)</f>
        <v>USA-AK</v>
      </c>
      <c r="E508" t="str">
        <f>_xlfn.TEXTBEFORE(_xlfn.TEXTAFTER(A508, "|", 4), "|", 1)</f>
        <v>2025-09-28</v>
      </c>
    </row>
    <row r="509" spans="1:5" x14ac:dyDescent="0.3">
      <c r="A509" t="s">
        <v>332</v>
      </c>
      <c r="B509" t="str">
        <f>_xlfn.TEXTBEFORE(_xlfn.TEXTAFTER(A509, "|", 1), "|", 1)</f>
        <v>A/Northern_Pintail/AK/25G06439-003-original/2025</v>
      </c>
      <c r="C509" t="str">
        <f>LOWER(_xlfn.TEXTBEFORE(_xlfn.TEXTAFTER(B509, "/", 1), "/", 1))</f>
        <v>northern_pintail</v>
      </c>
      <c r="D509" t="str">
        <f>_xlfn.TEXTBEFORE(_xlfn.TEXTAFTER(A509, "|", 3), "|", 1)</f>
        <v>USA-AK</v>
      </c>
      <c r="E509" t="str">
        <f>_xlfn.TEXTBEFORE(_xlfn.TEXTAFTER(A509, "|", 4), "|", 1)</f>
        <v>2025-09-28</v>
      </c>
    </row>
    <row r="510" spans="1:5" x14ac:dyDescent="0.3">
      <c r="A510" t="s">
        <v>333</v>
      </c>
      <c r="B510" t="str">
        <f>_xlfn.TEXTBEFORE(_xlfn.TEXTAFTER(A510, "|", 1), "|", 1)</f>
        <v>A/Northern_Pintail/AK/25G06439-001-original/2025</v>
      </c>
      <c r="C510" t="str">
        <f>LOWER(_xlfn.TEXTBEFORE(_xlfn.TEXTAFTER(B510, "/", 1), "/", 1))</f>
        <v>northern_pintail</v>
      </c>
      <c r="D510" t="str">
        <f>_xlfn.TEXTBEFORE(_xlfn.TEXTAFTER(A510, "|", 3), "|", 1)</f>
        <v>USA-AK</v>
      </c>
      <c r="E510" t="str">
        <f>_xlfn.TEXTBEFORE(_xlfn.TEXTAFTER(A510, "|", 4), "|", 1)</f>
        <v>2025-09-28</v>
      </c>
    </row>
    <row r="511" spans="1:5" x14ac:dyDescent="0.3">
      <c r="A511" t="s">
        <v>336</v>
      </c>
      <c r="B511" t="str">
        <f>_xlfn.TEXTBEFORE(_xlfn.TEXTAFTER(A511, "|", 1), "|", 1)</f>
        <v>A/Mallard_Duck/AK/25G06439-004-original/2025</v>
      </c>
      <c r="C511" t="str">
        <f>LOWER(_xlfn.TEXTBEFORE(_xlfn.TEXTAFTER(B511, "/", 1), "/", 1))</f>
        <v>mallard_duck</v>
      </c>
      <c r="D511" t="str">
        <f>_xlfn.TEXTBEFORE(_xlfn.TEXTAFTER(A511, "|", 3), "|", 1)</f>
        <v>USA-AK</v>
      </c>
      <c r="E511" t="str">
        <f>_xlfn.TEXTBEFORE(_xlfn.TEXTAFTER(A511, "|", 4), "|", 1)</f>
        <v>2025-09-28</v>
      </c>
    </row>
    <row r="512" spans="1:5" x14ac:dyDescent="0.3">
      <c r="A512" t="s">
        <v>350</v>
      </c>
      <c r="B512" t="str">
        <f>_xlfn.TEXTBEFORE(_xlfn.TEXTAFTER(A512, "|", 1), "|", 1)</f>
        <v>A/Common_Raven/AK/25G02279-005-original/2025</v>
      </c>
      <c r="C512" t="str">
        <f>LOWER(_xlfn.TEXTBEFORE(_xlfn.TEXTAFTER(B512, "/", 1), "/", 1))</f>
        <v>common_raven</v>
      </c>
      <c r="D512" t="str">
        <f>_xlfn.TEXTBEFORE(_xlfn.TEXTAFTER(A512, "|", 3), "|", 1)</f>
        <v>USA-AK</v>
      </c>
      <c r="E512" t="str">
        <f>_xlfn.TEXTBEFORE(_xlfn.TEXTAFTER(A512, "|", 4), "|", 1)</f>
        <v>2025-10-08</v>
      </c>
    </row>
    <row r="513" spans="1:5" x14ac:dyDescent="0.3">
      <c r="A513" t="s">
        <v>355</v>
      </c>
      <c r="B513" t="str">
        <f>_xlfn.TEXTBEFORE(_xlfn.TEXTAFTER(A513, "|", 1), "|", 1)</f>
        <v>A/Common_Raven/AK/25G02279-009-original/2025</v>
      </c>
      <c r="C513" t="str">
        <f>LOWER(_xlfn.TEXTBEFORE(_xlfn.TEXTAFTER(B513, "/", 1), "/", 1))</f>
        <v>common_raven</v>
      </c>
      <c r="D513" t="str">
        <f>_xlfn.TEXTBEFORE(_xlfn.TEXTAFTER(A513, "|", 3), "|", 1)</f>
        <v>USA-AK</v>
      </c>
      <c r="E513" t="str">
        <f>_xlfn.TEXTBEFORE(_xlfn.TEXTAFTER(A513, "|", 4), "|", 1)</f>
        <v>2025-10-08</v>
      </c>
    </row>
    <row r="514" spans="1:5" x14ac:dyDescent="0.3">
      <c r="A514" t="s">
        <v>356</v>
      </c>
      <c r="B514" t="str">
        <f>_xlfn.TEXTBEFORE(_xlfn.TEXTAFTER(A514, "|", 1), "|", 1)</f>
        <v>A/Common_Raven/AK/25G02279-015-original/2025</v>
      </c>
      <c r="C514" t="str">
        <f>LOWER(_xlfn.TEXTBEFORE(_xlfn.TEXTAFTER(B514, "/", 1), "/", 1))</f>
        <v>common_raven</v>
      </c>
      <c r="D514" t="str">
        <f>_xlfn.TEXTBEFORE(_xlfn.TEXTAFTER(A514, "|", 3), "|", 1)</f>
        <v>USA-AK</v>
      </c>
      <c r="E514" t="str">
        <f>_xlfn.TEXTBEFORE(_xlfn.TEXTAFTER(A514, "|", 4), "|", 1)</f>
        <v>2025-10-08</v>
      </c>
    </row>
    <row r="515" spans="1:5" x14ac:dyDescent="0.3">
      <c r="A515" t="s">
        <v>357</v>
      </c>
      <c r="B515" t="str">
        <f>_xlfn.TEXTBEFORE(_xlfn.TEXTAFTER(A515, "|", 1), "|", 1)</f>
        <v>A/Common_Raven/AK/25G02308-001-original/2025</v>
      </c>
      <c r="C515" t="str">
        <f>LOWER(_xlfn.TEXTBEFORE(_xlfn.TEXTAFTER(B515, "/", 1), "/", 1))</f>
        <v>common_raven</v>
      </c>
      <c r="D515" t="str">
        <f>_xlfn.TEXTBEFORE(_xlfn.TEXTAFTER(A515, "|", 3), "|", 1)</f>
        <v>USA-AK</v>
      </c>
      <c r="E515" t="str">
        <f>_xlfn.TEXTBEFORE(_xlfn.TEXTAFTER(A515, "|", 4), "|", 1)</f>
        <v>2025-10-08</v>
      </c>
    </row>
    <row r="516" spans="1:5" x14ac:dyDescent="0.3">
      <c r="A516" t="s">
        <v>358</v>
      </c>
      <c r="B516" t="str">
        <f>_xlfn.TEXTBEFORE(_xlfn.TEXTAFTER(A516, "|", 1), "|", 1)</f>
        <v>A/Common_Raven/AK/25G02308-003-original/2025</v>
      </c>
      <c r="C516" t="str">
        <f>LOWER(_xlfn.TEXTBEFORE(_xlfn.TEXTAFTER(B516, "/", 1), "/", 1))</f>
        <v>common_raven</v>
      </c>
      <c r="D516" t="str">
        <f>_xlfn.TEXTBEFORE(_xlfn.TEXTAFTER(A516, "|", 3), "|", 1)</f>
        <v>USA-AK</v>
      </c>
      <c r="E516" t="str">
        <f>_xlfn.TEXTBEFORE(_xlfn.TEXTAFTER(A516, "|", 4), "|", 1)</f>
        <v>2025-10-08</v>
      </c>
    </row>
    <row r="517" spans="1:5" x14ac:dyDescent="0.3">
      <c r="A517" t="s">
        <v>359</v>
      </c>
      <c r="B517" t="str">
        <f>_xlfn.TEXTBEFORE(_xlfn.TEXTAFTER(A517, "|", 1), "|", 1)</f>
        <v>A/Common_Raven/AK/25G02308-004-original/2025</v>
      </c>
      <c r="C517" t="str">
        <f>LOWER(_xlfn.TEXTBEFORE(_xlfn.TEXTAFTER(B517, "/", 1), "/", 1))</f>
        <v>common_raven</v>
      </c>
      <c r="D517" t="str">
        <f>_xlfn.TEXTBEFORE(_xlfn.TEXTAFTER(A517, "|", 3), "|", 1)</f>
        <v>USA-AK</v>
      </c>
      <c r="E517" t="str">
        <f>_xlfn.TEXTBEFORE(_xlfn.TEXTAFTER(A517, "|", 4), "|", 1)</f>
        <v>2025-10-08</v>
      </c>
    </row>
    <row r="518" spans="1:5" x14ac:dyDescent="0.3">
      <c r="A518" t="s">
        <v>366</v>
      </c>
      <c r="B518" t="str">
        <f>_xlfn.TEXTBEFORE(_xlfn.TEXTAFTER(A518, "|", 1), "|", 1)</f>
        <v>A/Common_Raven/AK/25G02279-008-original/2025</v>
      </c>
      <c r="C518" t="str">
        <f>LOWER(_xlfn.TEXTBEFORE(_xlfn.TEXTAFTER(B518, "/", 1), "/", 1))</f>
        <v>common_raven</v>
      </c>
      <c r="D518" t="str">
        <f>_xlfn.TEXTBEFORE(_xlfn.TEXTAFTER(A518, "|", 3), "|", 1)</f>
        <v>USA-AK</v>
      </c>
      <c r="E518" t="str">
        <f>_xlfn.TEXTBEFORE(_xlfn.TEXTAFTER(A518, "|", 4), "|", 1)</f>
        <v>2025-10-08</v>
      </c>
    </row>
    <row r="519" spans="1:5" x14ac:dyDescent="0.3">
      <c r="A519" t="s">
        <v>367</v>
      </c>
      <c r="B519" t="str">
        <f>_xlfn.TEXTBEFORE(_xlfn.TEXTAFTER(A519, "|", 1), "|", 1)</f>
        <v>A/Common_Raven/AK/25G02308-005-original/2025</v>
      </c>
      <c r="C519" t="str">
        <f>LOWER(_xlfn.TEXTBEFORE(_xlfn.TEXTAFTER(B519, "/", 1), "/", 1))</f>
        <v>common_raven</v>
      </c>
      <c r="D519" t="str">
        <f>_xlfn.TEXTBEFORE(_xlfn.TEXTAFTER(A519, "|", 3), "|", 1)</f>
        <v>USA-AK</v>
      </c>
      <c r="E519" t="str">
        <f>_xlfn.TEXTBEFORE(_xlfn.TEXTAFTER(A519, "|", 4), "|", 1)</f>
        <v>2025-10-08</v>
      </c>
    </row>
    <row r="520" spans="1:5" x14ac:dyDescent="0.3">
      <c r="A520" t="s">
        <v>376</v>
      </c>
      <c r="B520" t="str">
        <f>_xlfn.TEXTBEFORE(_xlfn.TEXTAFTER(A520, "|", 1), "|", 1)</f>
        <v>A/Common_Raven/AK/25G02279-002-original/2025</v>
      </c>
      <c r="C520" t="str">
        <f>LOWER(_xlfn.TEXTBEFORE(_xlfn.TEXTAFTER(B520, "/", 1), "/", 1))</f>
        <v>common_raven</v>
      </c>
      <c r="D520" t="str">
        <f>_xlfn.TEXTBEFORE(_xlfn.TEXTAFTER(A520, "|", 3), "|", 1)</f>
        <v>USA-AK</v>
      </c>
      <c r="E520" t="str">
        <f>_xlfn.TEXTBEFORE(_xlfn.TEXTAFTER(A520, "|", 4), "|", 1)</f>
        <v>2025-10-08</v>
      </c>
    </row>
    <row r="521" spans="1:5" x14ac:dyDescent="0.3">
      <c r="A521" t="s">
        <v>377</v>
      </c>
      <c r="B521" t="str">
        <f>_xlfn.TEXTBEFORE(_xlfn.TEXTAFTER(A521, "|", 1), "|", 1)</f>
        <v>A/Common_Raven/AK/25G02279-004-original/2025</v>
      </c>
      <c r="C521" t="str">
        <f>LOWER(_xlfn.TEXTBEFORE(_xlfn.TEXTAFTER(B521, "/", 1), "/", 1))</f>
        <v>common_raven</v>
      </c>
      <c r="D521" t="str">
        <f>_xlfn.TEXTBEFORE(_xlfn.TEXTAFTER(A521, "|", 3), "|", 1)</f>
        <v>USA-AK</v>
      </c>
      <c r="E521" t="str">
        <f>_xlfn.TEXTBEFORE(_xlfn.TEXTAFTER(A521, "|", 4), "|", 1)</f>
        <v>2025-10-08</v>
      </c>
    </row>
    <row r="522" spans="1:5" x14ac:dyDescent="0.3">
      <c r="A522" t="s">
        <v>379</v>
      </c>
      <c r="B522" t="str">
        <f>_xlfn.TEXTBEFORE(_xlfn.TEXTAFTER(A522, "|", 1), "|", 1)</f>
        <v>A/Common_Raven/AK/25G02279-006-original/2025</v>
      </c>
      <c r="C522" t="str">
        <f>LOWER(_xlfn.TEXTBEFORE(_xlfn.TEXTAFTER(B522, "/", 1), "/", 1))</f>
        <v>common_raven</v>
      </c>
      <c r="D522" t="str">
        <f>_xlfn.TEXTBEFORE(_xlfn.TEXTAFTER(A522, "|", 3), "|", 1)</f>
        <v>USA-AK</v>
      </c>
      <c r="E522" t="str">
        <f>_xlfn.TEXTBEFORE(_xlfn.TEXTAFTER(A522, "|", 4), "|", 1)</f>
        <v>2025-10-08</v>
      </c>
    </row>
    <row r="523" spans="1:5" x14ac:dyDescent="0.3">
      <c r="A523" t="s">
        <v>380</v>
      </c>
      <c r="B523" t="str">
        <f>_xlfn.TEXTBEFORE(_xlfn.TEXTAFTER(A523, "|", 1), "|", 1)</f>
        <v>A/Common_Raven/AK/25G02279-007-original/2025</v>
      </c>
      <c r="C523" t="str">
        <f>LOWER(_xlfn.TEXTBEFORE(_xlfn.TEXTAFTER(B523, "/", 1), "/", 1))</f>
        <v>common_raven</v>
      </c>
      <c r="D523" t="str">
        <f>_xlfn.TEXTBEFORE(_xlfn.TEXTAFTER(A523, "|", 3), "|", 1)</f>
        <v>USA-AK</v>
      </c>
      <c r="E523" t="str">
        <f>_xlfn.TEXTBEFORE(_xlfn.TEXTAFTER(A523, "|", 4), "|", 1)</f>
        <v>2025-10-08</v>
      </c>
    </row>
    <row r="524" spans="1:5" x14ac:dyDescent="0.3">
      <c r="A524" t="s">
        <v>381</v>
      </c>
      <c r="B524" t="str">
        <f>_xlfn.TEXTBEFORE(_xlfn.TEXTAFTER(A524, "|", 1), "|", 1)</f>
        <v>A/Common_Raven/AK/25G02279-010-original/2025</v>
      </c>
      <c r="C524" t="str">
        <f>LOWER(_xlfn.TEXTBEFORE(_xlfn.TEXTAFTER(B524, "/", 1), "/", 1))</f>
        <v>common_raven</v>
      </c>
      <c r="D524" t="str">
        <f>_xlfn.TEXTBEFORE(_xlfn.TEXTAFTER(A524, "|", 3), "|", 1)</f>
        <v>USA-AK</v>
      </c>
      <c r="E524" t="str">
        <f>_xlfn.TEXTBEFORE(_xlfn.TEXTAFTER(A524, "|", 4), "|", 1)</f>
        <v>2025-10-08</v>
      </c>
    </row>
    <row r="525" spans="1:5" x14ac:dyDescent="0.3">
      <c r="A525" t="s">
        <v>546</v>
      </c>
      <c r="B525" t="str">
        <f>_xlfn.TEXTBEFORE(_xlfn.TEXTAFTER(A525, "|", 1), "|", 1)</f>
        <v>A/Common_Raven/AK/25G02308-002-original-repeat/2025</v>
      </c>
      <c r="C525" t="str">
        <f>LOWER(_xlfn.TEXTBEFORE(_xlfn.TEXTAFTER(B525, "/", 1), "/", 1))</f>
        <v>common_raven</v>
      </c>
      <c r="D525" t="str">
        <f>_xlfn.TEXTBEFORE(_xlfn.TEXTAFTER(A525, "|", 3), "|", 1)</f>
        <v>USA-AK</v>
      </c>
      <c r="E525" t="str">
        <f>_xlfn.TEXTBEFORE(_xlfn.TEXTAFTER(A525, "|", 4), "|", 1)</f>
        <v>2025-10-08</v>
      </c>
    </row>
    <row r="526" spans="1:5" x14ac:dyDescent="0.3">
      <c r="A526" t="s">
        <v>384</v>
      </c>
      <c r="B526" t="str">
        <f>_xlfn.TEXTBEFORE(_xlfn.TEXTAFTER(A526, "|", 1), "|", 1)</f>
        <v>A/Duck/HI/25G02190-001-original/2025</v>
      </c>
      <c r="C526" t="str">
        <f>LOWER(_xlfn.TEXTBEFORE(_xlfn.TEXTAFTER(B526, "/", 1), "/", 1))</f>
        <v>duck</v>
      </c>
      <c r="D526" t="str">
        <f>_xlfn.TEXTBEFORE(_xlfn.TEXTAFTER(A526, "|", 3), "|", 1)</f>
        <v>USA-HI</v>
      </c>
      <c r="E526" t="str">
        <f>_xlfn.TEXTBEFORE(_xlfn.TEXTAFTER(A526, "|", 4), "|", 1)</f>
        <v>2025-10-09</v>
      </c>
    </row>
    <row r="527" spans="1:5" x14ac:dyDescent="0.3">
      <c r="A527" t="s">
        <v>24</v>
      </c>
      <c r="B527" t="str">
        <f>_xlfn.TEXTBEFORE(_xlfn.TEXTAFTER(A527, "|", 1), "|", 1)</f>
        <v>A/Canada_Goose/BC/AIVPHL-3807/2025</v>
      </c>
      <c r="C527" t="str">
        <f>LOWER(_xlfn.TEXTBEFORE(_xlfn.TEXTAFTER(B527, "/", 1), "/", 1))</f>
        <v>canada_goose</v>
      </c>
      <c r="D527" t="str">
        <f>_xlfn.TEXTBEFORE(_xlfn.TEXTAFTER(A527, "|", 3), "|", 1)</f>
        <v>Canada-BC</v>
      </c>
      <c r="E527" t="str">
        <f>_xlfn.TEXTBEFORE(_xlfn.TEXTAFTER(A527, "|", 4), "|", 1)</f>
        <v>2025-10-18</v>
      </c>
    </row>
    <row r="528" spans="1:5" x14ac:dyDescent="0.3">
      <c r="A528" t="s">
        <v>25</v>
      </c>
      <c r="B528" t="str">
        <f>_xlfn.TEXTBEFORE(_xlfn.TEXTAFTER(A528, "|", 1), "|", 1)</f>
        <v>A/Cackling_Goose/BC/AIVPHL-3830/2025</v>
      </c>
      <c r="C528" t="str">
        <f>LOWER(_xlfn.TEXTBEFORE(_xlfn.TEXTAFTER(B528, "/", 1), "/", 1))</f>
        <v>cackling_goose</v>
      </c>
      <c r="D528" t="str">
        <f>_xlfn.TEXTBEFORE(_xlfn.TEXTAFTER(A528, "|", 3), "|", 1)</f>
        <v>Canada-BC</v>
      </c>
      <c r="E528" t="str">
        <f>_xlfn.TEXTBEFORE(_xlfn.TEXTAFTER(A528, "|", 4), "|", 1)</f>
        <v>2025-10-31</v>
      </c>
    </row>
    <row r="529" spans="1:5" x14ac:dyDescent="0.3">
      <c r="A529" t="s">
        <v>363</v>
      </c>
      <c r="B529" t="str">
        <f>_xlfn.TEXTBEFORE(_xlfn.TEXTAFTER(A529, "|", 1), "|", 1)</f>
        <v>A/Western_Gull/OR/25G03487-001-original/2025</v>
      </c>
      <c r="C529" t="str">
        <f>LOWER(_xlfn.TEXTBEFORE(_xlfn.TEXTAFTER(B529, "/", 1), "/", 1))</f>
        <v>western_gull</v>
      </c>
      <c r="D529" t="str">
        <f>_xlfn.TEXTBEFORE(_xlfn.TEXTAFTER(A529, "|", 3), "|", 1)</f>
        <v>USA-OR</v>
      </c>
      <c r="E529" t="str">
        <f>_xlfn.TEXTBEFORE(_xlfn.TEXTAFTER(A529, "|", 4), "|", 1)</f>
        <v>2025-11-03</v>
      </c>
    </row>
    <row r="530" spans="1:5" x14ac:dyDescent="0.3">
      <c r="A530" t="s">
        <v>159</v>
      </c>
      <c r="B530" t="str">
        <f>_xlfn.TEXTBEFORE(_xlfn.TEXTAFTER(A530, "|", 1), "|", 1)</f>
        <v>A/Red-tailed_Hawk/CA/25G04005-001-original/2025</v>
      </c>
      <c r="C530" t="str">
        <f>LOWER(_xlfn.TEXTBEFORE(_xlfn.TEXTAFTER(B530, "/", 1), "/", 1))</f>
        <v>red-tailed_hawk</v>
      </c>
      <c r="D530" t="str">
        <f>_xlfn.TEXTBEFORE(_xlfn.TEXTAFTER(A530, "|", 3), "|", 1)</f>
        <v>USA-CA</v>
      </c>
      <c r="E530" t="str">
        <f>_xlfn.TEXTBEFORE(_xlfn.TEXTAFTER(A530, "|", 4), "|", 1)</f>
        <v>2025-11-05</v>
      </c>
    </row>
    <row r="531" spans="1:5" x14ac:dyDescent="0.3">
      <c r="A531" t="s">
        <v>540</v>
      </c>
      <c r="B531" t="str">
        <f>_xlfn.TEXTBEFORE(_xlfn.TEXTAFTER(A531, "|", 1), "|", 1)</f>
        <v>A/Herring_Gull/AK/25G05424-002-original/2025</v>
      </c>
      <c r="C531" t="str">
        <f>LOWER(_xlfn.TEXTBEFORE(_xlfn.TEXTAFTER(B531, "/", 1), "/", 1))</f>
        <v>herring_gull</v>
      </c>
      <c r="D531" t="str">
        <f>_xlfn.TEXTBEFORE(_xlfn.TEXTAFTER(A531, "|", 3), "|", 1)</f>
        <v>USA-AK</v>
      </c>
      <c r="E531" t="str">
        <f>_xlfn.TEXTBEFORE(_xlfn.TEXTAFTER(A531, "|", 4), "|", 1)</f>
        <v>2025-11-06</v>
      </c>
    </row>
    <row r="532" spans="1:5" x14ac:dyDescent="0.3">
      <c r="A532" t="s">
        <v>160</v>
      </c>
      <c r="B532" t="str">
        <f>_xlfn.TEXTBEFORE(_xlfn.TEXTAFTER(A532, "|", 1), "|", 1)</f>
        <v>A/Mallard_Duck/AK/25G04579-060-original/2025</v>
      </c>
      <c r="C532" t="str">
        <f>LOWER(_xlfn.TEXTBEFORE(_xlfn.TEXTAFTER(B532, "/", 1), "/", 1))</f>
        <v>mallard_duck</v>
      </c>
      <c r="D532" t="str">
        <f>_xlfn.TEXTBEFORE(_xlfn.TEXTAFTER(A532, "|", 3), "|", 1)</f>
        <v>USA-AK</v>
      </c>
      <c r="E532" t="str">
        <f>_xlfn.TEXTBEFORE(_xlfn.TEXTAFTER(A532, "|", 4), "|", 1)</f>
        <v>2025-11-14</v>
      </c>
    </row>
    <row r="533" spans="1:5" x14ac:dyDescent="0.3">
      <c r="A533" t="s">
        <v>161</v>
      </c>
      <c r="B533" t="str">
        <f>_xlfn.TEXTBEFORE(_xlfn.TEXTAFTER(A533, "|", 1), "|", 1)</f>
        <v>A/Mallard_Duck/AK/25G04579-054-original/2025</v>
      </c>
      <c r="C533" t="str">
        <f>LOWER(_xlfn.TEXTBEFORE(_xlfn.TEXTAFTER(B533, "/", 1), "/", 1))</f>
        <v>mallard_duck</v>
      </c>
      <c r="D533" t="str">
        <f>_xlfn.TEXTBEFORE(_xlfn.TEXTAFTER(A533, "|", 3), "|", 1)</f>
        <v>USA-AK</v>
      </c>
      <c r="E533" t="str">
        <f>_xlfn.TEXTBEFORE(_xlfn.TEXTAFTER(A533, "|", 4), "|", 1)</f>
        <v>2025-11-14</v>
      </c>
    </row>
    <row r="534" spans="1:5" x14ac:dyDescent="0.3">
      <c r="A534" t="s">
        <v>162</v>
      </c>
      <c r="B534" t="str">
        <f>_xlfn.TEXTBEFORE(_xlfn.TEXTAFTER(A534, "|", 1), "|", 1)</f>
        <v>A/Mallard_Duck/AK/25G04579-042-original/2025</v>
      </c>
      <c r="C534" t="str">
        <f>LOWER(_xlfn.TEXTBEFORE(_xlfn.TEXTAFTER(B534, "/", 1), "/", 1))</f>
        <v>mallard_duck</v>
      </c>
      <c r="D534" t="str">
        <f>_xlfn.TEXTBEFORE(_xlfn.TEXTAFTER(A534, "|", 3), "|", 1)</f>
        <v>USA-AK</v>
      </c>
      <c r="E534" t="str">
        <f>_xlfn.TEXTBEFORE(_xlfn.TEXTAFTER(A534, "|", 4), "|", 1)</f>
        <v>2025-11-14</v>
      </c>
    </row>
    <row r="535" spans="1:5" x14ac:dyDescent="0.3">
      <c r="A535" t="s">
        <v>538</v>
      </c>
      <c r="B535" t="str">
        <f>_xlfn.TEXTBEFORE(_xlfn.TEXTAFTER(A535, "|", 1), "|", 1)</f>
        <v>A/American_Crow/AK/25G05424-003-original/2025</v>
      </c>
      <c r="C535" t="str">
        <f>LOWER(_xlfn.TEXTBEFORE(_xlfn.TEXTAFTER(B535, "/", 1), "/", 1))</f>
        <v>american_crow</v>
      </c>
      <c r="D535" t="str">
        <f>_xlfn.TEXTBEFORE(_xlfn.TEXTAFTER(A535, "|", 3), "|", 1)</f>
        <v>USA-AK</v>
      </c>
      <c r="E535" t="str">
        <f>_xlfn.TEXTBEFORE(_xlfn.TEXTAFTER(A535, "|", 4), "|", 1)</f>
        <v>2025-11-17</v>
      </c>
    </row>
    <row r="536" spans="1:5" x14ac:dyDescent="0.3">
      <c r="A536" t="s">
        <v>542</v>
      </c>
      <c r="B536" t="str">
        <f>_xlfn.TEXTBEFORE(_xlfn.TEXTAFTER(A536, "|", 1), "|", 1)</f>
        <v>A/Gull/WA/25G04847-001-original/2025</v>
      </c>
      <c r="C536" t="str">
        <f>LOWER(_xlfn.TEXTBEFORE(_xlfn.TEXTAFTER(B536, "/", 1), "/", 1))</f>
        <v>gull</v>
      </c>
      <c r="D536" t="str">
        <f>_xlfn.TEXTBEFORE(_xlfn.TEXTAFTER(A536, "|", 3), "|", 1)</f>
        <v>USA-WA</v>
      </c>
      <c r="E536" t="str">
        <f>_xlfn.TEXTBEFORE(_xlfn.TEXTAFTER(A536, "|", 4), "|", 1)</f>
        <v>2025-11-17</v>
      </c>
    </row>
    <row r="537" spans="1:5" x14ac:dyDescent="0.3">
      <c r="A537" t="s">
        <v>337</v>
      </c>
      <c r="B537" t="str">
        <f>_xlfn.TEXTBEFORE(_xlfn.TEXTAFTER(A537, "|", 1), "|", 1)</f>
        <v>A/Herring_Gull/OR/25G06201-001-original/2025</v>
      </c>
      <c r="C537" t="str">
        <f>LOWER(_xlfn.TEXTBEFORE(_xlfn.TEXTAFTER(B537, "/", 1), "/", 1))</f>
        <v>herring_gull</v>
      </c>
      <c r="D537" t="str">
        <f>_xlfn.TEXTBEFORE(_xlfn.TEXTAFTER(A537, "|", 3), "|", 1)</f>
        <v>USA-OR</v>
      </c>
      <c r="E537" t="str">
        <f>_xlfn.TEXTBEFORE(_xlfn.TEXTAFTER(A537, "|", 4), "|", 1)</f>
        <v>2025-11-18</v>
      </c>
    </row>
    <row r="538" spans="1:5" x14ac:dyDescent="0.3">
      <c r="A538" t="s">
        <v>163</v>
      </c>
      <c r="B538" t="str">
        <f>_xlfn.TEXTBEFORE(_xlfn.TEXTAFTER(A538, "|", 1), "|", 1)</f>
        <v>A/Gull/OR/25G04576-001-original/2025</v>
      </c>
      <c r="C538" t="str">
        <f>LOWER(_xlfn.TEXTBEFORE(_xlfn.TEXTAFTER(B538, "/", 1), "/", 1))</f>
        <v>gull</v>
      </c>
      <c r="D538" t="str">
        <f>_xlfn.TEXTBEFORE(_xlfn.TEXTAFTER(A538, "|", 3), "|", 1)</f>
        <v>USA-OR</v>
      </c>
      <c r="E538" t="str">
        <f>_xlfn.TEXTBEFORE(_xlfn.TEXTAFTER(A538, "|", 4), "|", 1)</f>
        <v>2025-11-19</v>
      </c>
    </row>
    <row r="539" spans="1:5" x14ac:dyDescent="0.3">
      <c r="A539" t="s">
        <v>164</v>
      </c>
      <c r="B539" t="str">
        <f>_xlfn.TEXTBEFORE(_xlfn.TEXTAFTER(A539, "|", 1), "|", 1)</f>
        <v>A/Gull/OR/25G04575-001-original/2025</v>
      </c>
      <c r="C539" t="str">
        <f>LOWER(_xlfn.TEXTBEFORE(_xlfn.TEXTAFTER(B539, "/", 1), "/", 1))</f>
        <v>gull</v>
      </c>
      <c r="D539" t="str">
        <f>_xlfn.TEXTBEFORE(_xlfn.TEXTAFTER(A539, "|", 3), "|", 1)</f>
        <v>USA-OR</v>
      </c>
      <c r="E539" t="str">
        <f>_xlfn.TEXTBEFORE(_xlfn.TEXTAFTER(A539, "|", 4), "|", 1)</f>
        <v>2025-11-19</v>
      </c>
    </row>
    <row r="540" spans="1:5" x14ac:dyDescent="0.3">
      <c r="A540" t="s">
        <v>165</v>
      </c>
      <c r="B540" t="str">
        <f>_xlfn.TEXTBEFORE(_xlfn.TEXTAFTER(A540, "|", 1), "|", 1)</f>
        <v>A/Gull/OR/25G04574-001-original/2025</v>
      </c>
      <c r="C540" t="str">
        <f>LOWER(_xlfn.TEXTBEFORE(_xlfn.TEXTAFTER(B540, "/", 1), "/", 1))</f>
        <v>gull</v>
      </c>
      <c r="D540" t="str">
        <f>_xlfn.TEXTBEFORE(_xlfn.TEXTAFTER(A540, "|", 3), "|", 1)</f>
        <v>USA-OR</v>
      </c>
      <c r="E540" t="str">
        <f>_xlfn.TEXTBEFORE(_xlfn.TEXTAFTER(A540, "|", 4), "|", 1)</f>
        <v>2025-11-19</v>
      </c>
    </row>
    <row r="541" spans="1:5" x14ac:dyDescent="0.3">
      <c r="A541" t="s">
        <v>541</v>
      </c>
      <c r="B541" t="str">
        <f>_xlfn.TEXTBEFORE(_xlfn.TEXTAFTER(A541, "|", 1), "|", 1)</f>
        <v>A/American_Crow/OR/25G04941-001-original/2025</v>
      </c>
      <c r="C541" t="str">
        <f>LOWER(_xlfn.TEXTBEFORE(_xlfn.TEXTAFTER(B541, "/", 1), "/", 1))</f>
        <v>american_crow</v>
      </c>
      <c r="D541" t="str">
        <f>_xlfn.TEXTBEFORE(_xlfn.TEXTAFTER(A541, "|", 3), "|", 1)</f>
        <v>USA-OR</v>
      </c>
      <c r="E541" t="str">
        <f>_xlfn.TEXTBEFORE(_xlfn.TEXTAFTER(A541, "|", 4), "|", 1)</f>
        <v>2025-11-19</v>
      </c>
    </row>
    <row r="542" spans="1:5" x14ac:dyDescent="0.3">
      <c r="A542" t="s">
        <v>544</v>
      </c>
      <c r="B542" t="str">
        <f>_xlfn.TEXTBEFORE(_xlfn.TEXTAFTER(A542, "|", 1), "|", 1)</f>
        <v>A/Western_Gull/CA/25G04839-004-original/2025</v>
      </c>
      <c r="C542" t="str">
        <f>LOWER(_xlfn.TEXTBEFORE(_xlfn.TEXTAFTER(B542, "/", 1), "/", 1))</f>
        <v>western_gull</v>
      </c>
      <c r="D542" t="str">
        <f>_xlfn.TEXTBEFORE(_xlfn.TEXTAFTER(A542, "|", 3), "|", 1)</f>
        <v>USA-CA</v>
      </c>
      <c r="E542" t="str">
        <f>_xlfn.TEXTBEFORE(_xlfn.TEXTAFTER(A542, "|", 4), "|", 1)</f>
        <v>2025-11-20</v>
      </c>
    </row>
    <row r="543" spans="1:5" x14ac:dyDescent="0.3">
      <c r="A543" t="s">
        <v>547</v>
      </c>
      <c r="B543" t="str">
        <f>_xlfn.TEXTBEFORE(_xlfn.TEXTAFTER(A543, "|", 1), "|", 1)</f>
        <v>A/Western_Gull/CA/25G04839-003-original/2025</v>
      </c>
      <c r="C543" t="str">
        <f>LOWER(_xlfn.TEXTBEFORE(_xlfn.TEXTAFTER(B543, "/", 1), "/", 1))</f>
        <v>western_gull</v>
      </c>
      <c r="D543" t="str">
        <f>_xlfn.TEXTBEFORE(_xlfn.TEXTAFTER(A543, "|", 3), "|", 1)</f>
        <v>USA-CA</v>
      </c>
      <c r="E543" t="str">
        <f>_xlfn.TEXTBEFORE(_xlfn.TEXTAFTER(A543, "|", 4), "|", 1)</f>
        <v>2025-11-20</v>
      </c>
    </row>
    <row r="544" spans="1:5" x14ac:dyDescent="0.3">
      <c r="A544" t="s">
        <v>545</v>
      </c>
      <c r="B544" t="str">
        <f>_xlfn.TEXTBEFORE(_xlfn.TEXTAFTER(A544, "|", 1), "|", 1)</f>
        <v>A/Western_Gull/CA/25G05171-003-original/2025</v>
      </c>
      <c r="C544" t="str">
        <f>LOWER(_xlfn.TEXTBEFORE(_xlfn.TEXTAFTER(B544, "/", 1), "/", 1))</f>
        <v>western_gull</v>
      </c>
      <c r="D544" t="str">
        <f>_xlfn.TEXTBEFORE(_xlfn.TEXTAFTER(A544, "|", 3), "|", 1)</f>
        <v>USA-CA</v>
      </c>
      <c r="E544" t="str">
        <f>_xlfn.TEXTBEFORE(_xlfn.TEXTAFTER(A544, "|", 4), "|", 1)</f>
        <v>2025-11-21</v>
      </c>
    </row>
    <row r="545" spans="1:5" x14ac:dyDescent="0.3">
      <c r="A545" t="s">
        <v>548</v>
      </c>
      <c r="B545" t="str">
        <f>_xlfn.TEXTBEFORE(_xlfn.TEXTAFTER(A545, "|", 1), "|", 1)</f>
        <v>A/Western_Gull/CA/25G05171-002-original/2025</v>
      </c>
      <c r="C545" t="str">
        <f>LOWER(_xlfn.TEXTBEFORE(_xlfn.TEXTAFTER(B545, "/", 1), "/", 1))</f>
        <v>western_gull</v>
      </c>
      <c r="D545" t="str">
        <f>_xlfn.TEXTBEFORE(_xlfn.TEXTAFTER(A545, "|", 3), "|", 1)</f>
        <v>USA-CA</v>
      </c>
      <c r="E545" t="str">
        <f>_xlfn.TEXTBEFORE(_xlfn.TEXTAFTER(A545, "|", 4), "|", 1)</f>
        <v>2025-11-21</v>
      </c>
    </row>
    <row r="546" spans="1:5" x14ac:dyDescent="0.3">
      <c r="A546" t="s">
        <v>539</v>
      </c>
      <c r="B546" t="str">
        <f>_xlfn.TEXTBEFORE(_xlfn.TEXTAFTER(A546, "|", 1), "|", 1)</f>
        <v>A/Great_horned_Owl/AK/25G05348-001-original/2025</v>
      </c>
      <c r="C546" t="str">
        <f>LOWER(_xlfn.TEXTBEFORE(_xlfn.TEXTAFTER(B546, "/", 1), "/", 1))</f>
        <v>great_horned_owl</v>
      </c>
      <c r="D546" t="str">
        <f>_xlfn.TEXTBEFORE(_xlfn.TEXTAFTER(A546, "|", 3), "|", 1)</f>
        <v>USA-AK</v>
      </c>
      <c r="E546" t="str">
        <f>_xlfn.TEXTBEFORE(_xlfn.TEXTAFTER(A546, "|", 4), "|", 1)</f>
        <v>2025-11-25</v>
      </c>
    </row>
    <row r="547" spans="1:5" x14ac:dyDescent="0.3">
      <c r="A547" t="s">
        <v>334</v>
      </c>
      <c r="B547" t="str">
        <f>_xlfn.TEXTBEFORE(_xlfn.TEXTAFTER(A547, "|", 1), "|", 1)</f>
        <v>A/Bonaparte's_Gull/CA/25G06502-001-original/2025</v>
      </c>
      <c r="C547" t="str">
        <f>LOWER(_xlfn.TEXTBEFORE(_xlfn.TEXTAFTER(B547, "/", 1), "/", 1))</f>
        <v>bonaparte's_gull</v>
      </c>
      <c r="D547" t="str">
        <f>_xlfn.TEXTBEFORE(_xlfn.TEXTAFTER(A547, "|", 3), "|", 1)</f>
        <v>USA-CA</v>
      </c>
      <c r="E547" t="str">
        <f>_xlfn.TEXTBEFORE(_xlfn.TEXTAFTER(A547, "|", 4), "|", 1)</f>
        <v>2025-12-10</v>
      </c>
    </row>
    <row r="548" spans="1:5" x14ac:dyDescent="0.3">
      <c r="A548" t="s">
        <v>335</v>
      </c>
      <c r="B548" t="str">
        <f>_xlfn.TEXTBEFORE(_xlfn.TEXTAFTER(A548, "|", 1), "|", 1)</f>
        <v>A/Turkey_Vulture/CA/25G06502-004-original/2025</v>
      </c>
      <c r="C548" t="str">
        <f>LOWER(_xlfn.TEXTBEFORE(_xlfn.TEXTAFTER(B548, "/", 1), "/", 1))</f>
        <v>turkey_vulture</v>
      </c>
      <c r="D548" t="str">
        <f>_xlfn.TEXTBEFORE(_xlfn.TEXTAFTER(A548, "|", 3), "|", 1)</f>
        <v>USA-CA</v>
      </c>
      <c r="E548" t="str">
        <f>_xlfn.TEXTBEFORE(_xlfn.TEXTAFTER(A548, "|", 4), "|", 1)</f>
        <v>2025-12-10</v>
      </c>
    </row>
    <row r="549" spans="1:5" x14ac:dyDescent="0.3">
      <c r="A549" t="s">
        <v>338</v>
      </c>
      <c r="B549" t="str">
        <f>_xlfn.TEXTBEFORE(_xlfn.TEXTAFTER(A549, "|", 1), "|", 1)</f>
        <v>A/Glaucous_Gull/CA/25G06504-001-original/2025</v>
      </c>
      <c r="C549" t="str">
        <f>LOWER(_xlfn.TEXTBEFORE(_xlfn.TEXTAFTER(B549, "/", 1), "/", 1))</f>
        <v>glaucous_gull</v>
      </c>
      <c r="D549" t="str">
        <f>_xlfn.TEXTBEFORE(_xlfn.TEXTAFTER(A549, "|", 3), "|", 1)</f>
        <v>USA-CA</v>
      </c>
      <c r="E549" t="str">
        <f>_xlfn.TEXTBEFORE(_xlfn.TEXTAFTER(A549, "|", 4), "|", 1)</f>
        <v>2025-12-10</v>
      </c>
    </row>
    <row r="550" spans="1:5" x14ac:dyDescent="0.3">
      <c r="A550" t="s">
        <v>552</v>
      </c>
      <c r="B550" t="str">
        <f>_xlfn.TEXTBEFORE(_xlfn.TEXTAFTER(A550, "|", 1), "|", 1)</f>
        <v>A/Black-necked_stilt/CA/25G06767-002-original/2025</v>
      </c>
      <c r="C550" t="str">
        <f>LOWER(_xlfn.TEXTBEFORE(_xlfn.TEXTAFTER(B550, "/", 1), "/", 1))</f>
        <v>black-necked_stilt</v>
      </c>
      <c r="D550" t="str">
        <f>_xlfn.TEXTBEFORE(_xlfn.TEXTAFTER(A550, "|", 3), "|", 1)</f>
        <v>USA-CA</v>
      </c>
      <c r="E550" t="str">
        <f>_xlfn.TEXTBEFORE(_xlfn.TEXTAFTER(A550, "|", 4), "|", 1)</f>
        <v>2025-12-17</v>
      </c>
    </row>
    <row r="551" spans="1:5" x14ac:dyDescent="0.3">
      <c r="A551" t="s">
        <v>554</v>
      </c>
      <c r="B551" t="str">
        <f>_xlfn.TEXTBEFORE(_xlfn.TEXTAFTER(A551, "|", 1), "|", 1)</f>
        <v>A/Great_horned_Owl/CA/25G06778-003-original/2025</v>
      </c>
      <c r="C551" t="str">
        <f>LOWER(_xlfn.TEXTBEFORE(_xlfn.TEXTAFTER(B551, "/", 1), "/", 1))</f>
        <v>great_horned_owl</v>
      </c>
      <c r="D551" t="str">
        <f>_xlfn.TEXTBEFORE(_xlfn.TEXTAFTER(A551, "|", 3), "|", 1)</f>
        <v>USA-CA</v>
      </c>
      <c r="E551" t="str">
        <f>_xlfn.TEXTBEFORE(_xlfn.TEXTAFTER(A551, "|", 4), "|", 1)</f>
        <v>2025-12-17</v>
      </c>
    </row>
    <row r="552" spans="1:5" x14ac:dyDescent="0.3">
      <c r="A552" t="s">
        <v>555</v>
      </c>
      <c r="B552" t="str">
        <f>_xlfn.TEXTBEFORE(_xlfn.TEXTAFTER(A552, "|", 1), "|", 1)</f>
        <v>A/Red-tailed_Hawk/CA/25G06778-001-original/2025</v>
      </c>
      <c r="C552" t="str">
        <f>LOWER(_xlfn.TEXTBEFORE(_xlfn.TEXTAFTER(B552, "/", 1), "/", 1))</f>
        <v>red-tailed_hawk</v>
      </c>
      <c r="D552" t="str">
        <f>_xlfn.TEXTBEFORE(_xlfn.TEXTAFTER(A552, "|", 3), "|", 1)</f>
        <v>USA-CA</v>
      </c>
      <c r="E552" t="str">
        <f>_xlfn.TEXTBEFORE(_xlfn.TEXTAFTER(A552, "|", 4), "|", 1)</f>
        <v>2025-12-17</v>
      </c>
    </row>
    <row r="553" spans="1:5" x14ac:dyDescent="0.3">
      <c r="A553" t="s">
        <v>556</v>
      </c>
      <c r="B553" t="str">
        <f>_xlfn.TEXTBEFORE(_xlfn.TEXTAFTER(A553, "|", 1), "|", 1)</f>
        <v>A/Turkey_Vulture/CA/25G06773-001-original/2025</v>
      </c>
      <c r="C553" t="str">
        <f>LOWER(_xlfn.TEXTBEFORE(_xlfn.TEXTAFTER(B553, "/", 1), "/", 1))</f>
        <v>turkey_vulture</v>
      </c>
      <c r="D553" t="str">
        <f>_xlfn.TEXTBEFORE(_xlfn.TEXTAFTER(A553, "|", 3), "|", 1)</f>
        <v>USA-CA</v>
      </c>
      <c r="E553" t="str">
        <f>_xlfn.TEXTBEFORE(_xlfn.TEXTAFTER(A553, "|", 4), "|", 1)</f>
        <v>2025-12-17</v>
      </c>
    </row>
    <row r="554" spans="1:5" x14ac:dyDescent="0.3">
      <c r="A554" t="s">
        <v>557</v>
      </c>
      <c r="B554" t="str">
        <f>_xlfn.TEXTBEFORE(_xlfn.TEXTAFTER(A554, "|", 1), "|", 1)</f>
        <v>A/Sanderling/CA/25G06768-001-original/2025</v>
      </c>
      <c r="C554" t="str">
        <f>LOWER(_xlfn.TEXTBEFORE(_xlfn.TEXTAFTER(B554, "/", 1), "/", 1))</f>
        <v>sanderling</v>
      </c>
      <c r="D554" t="str">
        <f>_xlfn.TEXTBEFORE(_xlfn.TEXTAFTER(A554, "|", 3), "|", 1)</f>
        <v>USA-CA</v>
      </c>
      <c r="E554" t="str">
        <f>_xlfn.TEXTBEFORE(_xlfn.TEXTAFTER(A554, "|", 4), "|", 1)</f>
        <v>2025-12-17</v>
      </c>
    </row>
    <row r="555" spans="1:5" x14ac:dyDescent="0.3">
      <c r="A555" t="s">
        <v>558</v>
      </c>
      <c r="B555" t="str">
        <f>_xlfn.TEXTBEFORE(_xlfn.TEXTAFTER(A555, "|", 1), "|", 1)</f>
        <v>A/Turkey_Vulture/CA/25G06772-002-original/2025</v>
      </c>
      <c r="C555" t="str">
        <f>LOWER(_xlfn.TEXTBEFORE(_xlfn.TEXTAFTER(B555, "/", 1), "/", 1))</f>
        <v>turkey_vulture</v>
      </c>
      <c r="D555" t="str">
        <f>_xlfn.TEXTBEFORE(_xlfn.TEXTAFTER(A555, "|", 3), "|", 1)</f>
        <v>USA-CA</v>
      </c>
      <c r="E555" t="str">
        <f>_xlfn.TEXTBEFORE(_xlfn.TEXTAFTER(A555, "|", 4), "|", 1)</f>
        <v>2025-12-18</v>
      </c>
    </row>
    <row r="556" spans="1:5" x14ac:dyDescent="0.3">
      <c r="A556" t="s">
        <v>551</v>
      </c>
      <c r="B556" t="str">
        <f>_xlfn.TEXTBEFORE(_xlfn.TEXTAFTER(A556, "|", 1), "|", 1)</f>
        <v>A/Bird/CA/25G06779-002-original/2025</v>
      </c>
      <c r="C556" t="str">
        <f>LOWER(_xlfn.TEXTBEFORE(_xlfn.TEXTAFTER(B556, "/", 1), "/", 1))</f>
        <v>bird</v>
      </c>
      <c r="D556" t="str">
        <f>_xlfn.TEXTBEFORE(_xlfn.TEXTAFTER(A556, "|", 3), "|", 1)</f>
        <v>USA-CA</v>
      </c>
      <c r="E556" t="str">
        <f>_xlfn.TEXTBEFORE(_xlfn.TEXTAFTER(A556, "|", 4), "|", 1)</f>
        <v>2025-12-23</v>
      </c>
    </row>
    <row r="557" spans="1:5" x14ac:dyDescent="0.3">
      <c r="A557" t="s">
        <v>553</v>
      </c>
      <c r="B557" t="str">
        <f>_xlfn.TEXTBEFORE(_xlfn.TEXTAFTER(A557, "|", 1), "|", 1)</f>
        <v>A/Common_Raven/CA/25G06779-005-original/2025</v>
      </c>
      <c r="C557" t="str">
        <f>LOWER(_xlfn.TEXTBEFORE(_xlfn.TEXTAFTER(B557, "/", 1), "/", 1))</f>
        <v>common_raven</v>
      </c>
      <c r="D557" t="str">
        <f>_xlfn.TEXTBEFORE(_xlfn.TEXTAFTER(A557, "|", 3), "|", 1)</f>
        <v>USA-CA</v>
      </c>
      <c r="E557" t="str">
        <f>_xlfn.TEXTBEFORE(_xlfn.TEXTAFTER(A557, "|", 4), "|", 1)</f>
        <v>2025-12-23</v>
      </c>
    </row>
    <row r="558" spans="1:5" x14ac:dyDescent="0.3">
      <c r="A558" t="s">
        <v>340</v>
      </c>
      <c r="B558" t="str">
        <f>_xlfn.TEXTBEFORE(_xlfn.TEXTAFTER(A558, "|", 1), "|", 1)</f>
        <v>A/Western_Gull/CA/26G01051-002-original/2026</v>
      </c>
      <c r="C558" t="str">
        <f>LOWER(_xlfn.TEXTBEFORE(_xlfn.TEXTAFTER(B558, "/", 1), "/", 1))</f>
        <v>western_gull</v>
      </c>
      <c r="D558" t="str">
        <f>_xlfn.TEXTBEFORE(_xlfn.TEXTAFTER(A558, "|", 3), "|", 1)</f>
        <v>USA-CA</v>
      </c>
      <c r="E558" t="str">
        <f>_xlfn.TEXTBEFORE(_xlfn.TEXTAFTER(A558, "|", 4), "|", 1)</f>
        <v>2026-01-14</v>
      </c>
    </row>
  </sheetData>
  <sortState xmlns:xlrd2="http://schemas.microsoft.com/office/spreadsheetml/2017/richdata2" ref="A2:E558">
    <sortCondition ref="E2:E558"/>
  </sortState>
  <conditionalFormatting sqref="A1:A1048576">
    <cfRule type="duplicateValues" dxfId="6" priority="4"/>
  </conditionalFormatting>
  <conditionalFormatting sqref="B2:B2512">
    <cfRule type="duplicateValues" dxfId="5" priority="3"/>
  </conditionalFormatting>
  <conditionalFormatting sqref="B1:B1048576">
    <cfRule type="duplicateValues" dxfId="4" priority="1"/>
    <cfRule type="duplicateValues" dxfId="3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B417B-CDE7-47F8-9926-96195A32205B}">
  <dimension ref="A1:E28"/>
  <sheetViews>
    <sheetView tabSelected="1" workbookViewId="0">
      <selection activeCell="O8" sqref="O8"/>
    </sheetView>
  </sheetViews>
  <sheetFormatPr defaultRowHeight="14.4" x14ac:dyDescent="0.3"/>
  <sheetData>
    <row r="1" spans="1:5" x14ac:dyDescent="0.3">
      <c r="A1" t="s">
        <v>561</v>
      </c>
      <c r="B1" t="s">
        <v>562</v>
      </c>
      <c r="C1" t="s">
        <v>563</v>
      </c>
      <c r="D1" t="s">
        <v>564</v>
      </c>
      <c r="E1" t="s">
        <v>652</v>
      </c>
    </row>
    <row r="2" spans="1:5" x14ac:dyDescent="0.3">
      <c r="A2" t="s">
        <v>565</v>
      </c>
      <c r="B2" t="s">
        <v>567</v>
      </c>
      <c r="C2" t="s">
        <v>571</v>
      </c>
      <c r="D2" t="s">
        <v>566</v>
      </c>
      <c r="E2" t="s">
        <v>649</v>
      </c>
    </row>
    <row r="3" spans="1:5" x14ac:dyDescent="0.3">
      <c r="A3" t="s">
        <v>570</v>
      </c>
      <c r="B3" t="s">
        <v>568</v>
      </c>
      <c r="C3" t="s">
        <v>573</v>
      </c>
      <c r="D3" t="s">
        <v>574</v>
      </c>
      <c r="E3" t="s">
        <v>584</v>
      </c>
    </row>
    <row r="4" spans="1:5" x14ac:dyDescent="0.3">
      <c r="A4" t="s">
        <v>580</v>
      </c>
      <c r="B4" t="s">
        <v>569</v>
      </c>
      <c r="C4" t="s">
        <v>648</v>
      </c>
      <c r="D4" t="s">
        <v>651</v>
      </c>
      <c r="E4" t="s">
        <v>586</v>
      </c>
    </row>
    <row r="5" spans="1:5" x14ac:dyDescent="0.3">
      <c r="A5" t="s">
        <v>583</v>
      </c>
      <c r="B5" t="s">
        <v>572</v>
      </c>
      <c r="C5" t="s">
        <v>575</v>
      </c>
      <c r="D5" t="s">
        <v>650</v>
      </c>
      <c r="E5" t="s">
        <v>639</v>
      </c>
    </row>
    <row r="6" spans="1:5" x14ac:dyDescent="0.3">
      <c r="A6" t="s">
        <v>585</v>
      </c>
      <c r="B6" t="s">
        <v>577</v>
      </c>
      <c r="C6" t="s">
        <v>576</v>
      </c>
      <c r="D6" t="s">
        <v>646</v>
      </c>
      <c r="E6" t="s">
        <v>602</v>
      </c>
    </row>
    <row r="7" spans="1:5" x14ac:dyDescent="0.3">
      <c r="A7" t="s">
        <v>592</v>
      </c>
      <c r="B7" t="s">
        <v>578</v>
      </c>
      <c r="C7" t="s">
        <v>579</v>
      </c>
      <c r="D7" t="s">
        <v>647</v>
      </c>
      <c r="E7" t="s">
        <v>635</v>
      </c>
    </row>
    <row r="8" spans="1:5" x14ac:dyDescent="0.3">
      <c r="A8" t="s">
        <v>588</v>
      </c>
      <c r="B8" t="s">
        <v>581</v>
      </c>
      <c r="C8" t="s">
        <v>593</v>
      </c>
      <c r="D8" t="s">
        <v>582</v>
      </c>
      <c r="E8" t="s">
        <v>636</v>
      </c>
    </row>
    <row r="9" spans="1:5" x14ac:dyDescent="0.3">
      <c r="A9" t="s">
        <v>589</v>
      </c>
      <c r="B9" t="s">
        <v>590</v>
      </c>
      <c r="C9" t="s">
        <v>594</v>
      </c>
      <c r="D9" t="s">
        <v>587</v>
      </c>
      <c r="E9" t="s">
        <v>605</v>
      </c>
    </row>
    <row r="10" spans="1:5" x14ac:dyDescent="0.3">
      <c r="A10" t="s">
        <v>596</v>
      </c>
      <c r="B10" t="s">
        <v>645</v>
      </c>
      <c r="C10" t="s">
        <v>597</v>
      </c>
      <c r="D10" t="s">
        <v>591</v>
      </c>
      <c r="E10" t="s">
        <v>633</v>
      </c>
    </row>
    <row r="11" spans="1:5" x14ac:dyDescent="0.3">
      <c r="A11" t="s">
        <v>599</v>
      </c>
      <c r="B11" t="s">
        <v>595</v>
      </c>
      <c r="C11" t="s">
        <v>644</v>
      </c>
      <c r="D11" t="s">
        <v>598</v>
      </c>
    </row>
    <row r="12" spans="1:5" x14ac:dyDescent="0.3">
      <c r="A12" t="s">
        <v>601</v>
      </c>
      <c r="B12" t="s">
        <v>627</v>
      </c>
      <c r="C12" t="s">
        <v>634</v>
      </c>
      <c r="D12" t="s">
        <v>600</v>
      </c>
    </row>
    <row r="13" spans="1:5" x14ac:dyDescent="0.3">
      <c r="A13" t="s">
        <v>603</v>
      </c>
      <c r="B13" t="s">
        <v>628</v>
      </c>
      <c r="C13" t="s">
        <v>631</v>
      </c>
      <c r="D13" t="s">
        <v>643</v>
      </c>
    </row>
    <row r="14" spans="1:5" x14ac:dyDescent="0.3">
      <c r="A14" t="s">
        <v>642</v>
      </c>
      <c r="B14" t="s">
        <v>607</v>
      </c>
      <c r="C14" t="s">
        <v>632</v>
      </c>
      <c r="D14" t="s">
        <v>640</v>
      </c>
    </row>
    <row r="15" spans="1:5" x14ac:dyDescent="0.3">
      <c r="A15" t="s">
        <v>625</v>
      </c>
      <c r="B15" t="s">
        <v>620</v>
      </c>
      <c r="C15" t="s">
        <v>629</v>
      </c>
      <c r="D15" t="s">
        <v>641</v>
      </c>
    </row>
    <row r="16" spans="1:5" x14ac:dyDescent="0.3">
      <c r="A16" t="s">
        <v>626</v>
      </c>
      <c r="B16" t="s">
        <v>615</v>
      </c>
      <c r="C16" t="s">
        <v>604</v>
      </c>
      <c r="D16" t="s">
        <v>638</v>
      </c>
    </row>
    <row r="17" spans="1:4" x14ac:dyDescent="0.3">
      <c r="A17" t="s">
        <v>624</v>
      </c>
      <c r="D17" t="s">
        <v>637</v>
      </c>
    </row>
    <row r="18" spans="1:4" x14ac:dyDescent="0.3">
      <c r="A18" t="s">
        <v>616</v>
      </c>
      <c r="D18" t="s">
        <v>630</v>
      </c>
    </row>
    <row r="19" spans="1:4" x14ac:dyDescent="0.3">
      <c r="A19" t="s">
        <v>617</v>
      </c>
      <c r="D19" t="s">
        <v>614</v>
      </c>
    </row>
    <row r="20" spans="1:4" x14ac:dyDescent="0.3">
      <c r="A20" t="s">
        <v>606</v>
      </c>
      <c r="D20" t="s">
        <v>609</v>
      </c>
    </row>
    <row r="21" spans="1:4" x14ac:dyDescent="0.3">
      <c r="A21" t="s">
        <v>608</v>
      </c>
      <c r="D21" t="s">
        <v>610</v>
      </c>
    </row>
    <row r="22" spans="1:4" x14ac:dyDescent="0.3">
      <c r="A22" t="s">
        <v>621</v>
      </c>
      <c r="D22" t="s">
        <v>613</v>
      </c>
    </row>
    <row r="23" spans="1:4" x14ac:dyDescent="0.3">
      <c r="A23" t="s">
        <v>622</v>
      </c>
    </row>
    <row r="24" spans="1:4" x14ac:dyDescent="0.3">
      <c r="A24" t="s">
        <v>623</v>
      </c>
    </row>
    <row r="25" spans="1:4" x14ac:dyDescent="0.3">
      <c r="A25" t="s">
        <v>618</v>
      </c>
    </row>
    <row r="26" spans="1:4" x14ac:dyDescent="0.3">
      <c r="A26" t="s">
        <v>619</v>
      </c>
    </row>
    <row r="27" spans="1:4" x14ac:dyDescent="0.3">
      <c r="A27" t="s">
        <v>611</v>
      </c>
    </row>
    <row r="28" spans="1:4" x14ac:dyDescent="0.3">
      <c r="A28" t="s">
        <v>612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090B7-2457-45E6-A038-4D8AE52B0902}">
  <dimension ref="A1:A88"/>
  <sheetViews>
    <sheetView workbookViewId="0">
      <selection activeCell="D14" sqref="D14"/>
    </sheetView>
  </sheetViews>
  <sheetFormatPr defaultRowHeight="14.4" x14ac:dyDescent="0.3"/>
  <cols>
    <col min="1" max="1" width="22.21875" bestFit="1" customWidth="1"/>
  </cols>
  <sheetData>
    <row r="1" spans="1:1" x14ac:dyDescent="0.3">
      <c r="A1" t="s">
        <v>560</v>
      </c>
    </row>
    <row r="2" spans="1:1" x14ac:dyDescent="0.3">
      <c r="A2" t="str" cm="1">
        <f t="array" ref="A2:A88">_xlfn.UNIQUE(Headers!C2:C558)</f>
        <v>bald_eagle</v>
      </c>
    </row>
    <row r="3" spans="1:1" x14ac:dyDescent="0.3">
      <c r="A3" t="str">
        <v>red_tailed_hawk</v>
      </c>
    </row>
    <row r="4" spans="1:1" x14ac:dyDescent="0.3">
      <c r="A4" t="str">
        <v>red_fox</v>
      </c>
    </row>
    <row r="5" spans="1:1" x14ac:dyDescent="0.3">
      <c r="A5" t="str">
        <v>green_winged_teal</v>
      </c>
    </row>
    <row r="6" spans="1:1" x14ac:dyDescent="0.3">
      <c r="A6" t="str">
        <v>gadwall</v>
      </c>
    </row>
    <row r="7" spans="1:1" x14ac:dyDescent="0.3">
      <c r="A7" t="str">
        <v>canada_goose</v>
      </c>
    </row>
    <row r="8" spans="1:1" x14ac:dyDescent="0.3">
      <c r="A8" t="str">
        <v>greater_scaup</v>
      </c>
    </row>
    <row r="9" spans="1:1" x14ac:dyDescent="0.3">
      <c r="A9" t="str">
        <v>hawk</v>
      </c>
    </row>
    <row r="10" spans="1:1" x14ac:dyDescent="0.3">
      <c r="A10" t="str">
        <v>trumpeter_swan</v>
      </c>
    </row>
    <row r="11" spans="1:1" x14ac:dyDescent="0.3">
      <c r="A11" t="str">
        <v>glaucous_gull</v>
      </c>
    </row>
    <row r="12" spans="1:1" x14ac:dyDescent="0.3">
      <c r="A12" t="str">
        <v>mallard_duck</v>
      </c>
    </row>
    <row r="13" spans="1:1" x14ac:dyDescent="0.3">
      <c r="A13" t="str">
        <v>american_wigeon</v>
      </c>
    </row>
    <row r="14" spans="1:1" x14ac:dyDescent="0.3">
      <c r="A14" t="str">
        <v>northern_pintail</v>
      </c>
    </row>
    <row r="15" spans="1:1" x14ac:dyDescent="0.3">
      <c r="A15" t="str">
        <v>great_horned_owl</v>
      </c>
    </row>
    <row r="16" spans="1:1" x14ac:dyDescent="0.3">
      <c r="A16" t="str">
        <v>gull</v>
      </c>
    </row>
    <row r="17" spans="1:1" x14ac:dyDescent="0.3">
      <c r="A17" t="str">
        <v>ring_necked_duck</v>
      </c>
    </row>
    <row r="18" spans="1:1" x14ac:dyDescent="0.3">
      <c r="A18" t="str">
        <v>tundra_swan</v>
      </c>
    </row>
    <row r="19" spans="1:1" x14ac:dyDescent="0.3">
      <c r="A19" t="str">
        <v>wild_goose</v>
      </c>
    </row>
    <row r="20" spans="1:1" x14ac:dyDescent="0.3">
      <c r="A20" t="str">
        <v>snow_goose</v>
      </c>
    </row>
    <row r="21" spans="1:1" x14ac:dyDescent="0.3">
      <c r="A21" t="str">
        <v>american_crow</v>
      </c>
    </row>
    <row r="22" spans="1:1" x14ac:dyDescent="0.3">
      <c r="A22" t="str">
        <v>lesser_scaup</v>
      </c>
    </row>
    <row r="23" spans="1:1" x14ac:dyDescent="0.3">
      <c r="A23" t="str">
        <v>northern_shoveler</v>
      </c>
    </row>
    <row r="24" spans="1:1" x14ac:dyDescent="0.3">
      <c r="A24" t="str">
        <v>wood_duck</v>
      </c>
    </row>
    <row r="25" spans="1:1" x14ac:dyDescent="0.3">
      <c r="A25" t="str">
        <v>wild_duck</v>
      </c>
    </row>
    <row r="26" spans="1:1" x14ac:dyDescent="0.3">
      <c r="A26" t="str">
        <v>redhead_duck</v>
      </c>
    </row>
    <row r="27" spans="1:1" x14ac:dyDescent="0.3">
      <c r="A27" t="str">
        <v>golden_eagle</v>
      </c>
    </row>
    <row r="28" spans="1:1" x14ac:dyDescent="0.3">
      <c r="A28" t="str">
        <v>common_raven</v>
      </c>
    </row>
    <row r="29" spans="1:1" x14ac:dyDescent="0.3">
      <c r="A29" t="str">
        <v>turkey_vulture</v>
      </c>
    </row>
    <row r="30" spans="1:1" x14ac:dyDescent="0.3">
      <c r="A30" t="str">
        <v>fox</v>
      </c>
    </row>
    <row r="31" spans="1:1" x14ac:dyDescent="0.3">
      <c r="A31" t="str">
        <v>mallard</v>
      </c>
    </row>
    <row r="32" spans="1:1" x14ac:dyDescent="0.3">
      <c r="A32" t="str">
        <v>seagull</v>
      </c>
    </row>
    <row r="33" spans="1:1" x14ac:dyDescent="0.3">
      <c r="A33" t="str">
        <v>western_gull</v>
      </c>
    </row>
    <row r="34" spans="1:1" x14ac:dyDescent="0.3">
      <c r="A34" t="str">
        <v>brown_pelican</v>
      </c>
    </row>
    <row r="35" spans="1:1" x14ac:dyDescent="0.3">
      <c r="A35" t="str">
        <v>raccoon</v>
      </c>
    </row>
    <row r="36" spans="1:1" x14ac:dyDescent="0.3">
      <c r="A36" t="str">
        <v>catalina_island_fox</v>
      </c>
    </row>
    <row r="37" spans="1:1" x14ac:dyDescent="0.3">
      <c r="A37" t="str">
        <v>bobcat</v>
      </c>
    </row>
    <row r="38" spans="1:1" x14ac:dyDescent="0.3">
      <c r="A38" t="str">
        <v>haliaeetus_leucocephalus</v>
      </c>
    </row>
    <row r="39" spans="1:1" x14ac:dyDescent="0.3">
      <c r="A39" t="str">
        <v>raven</v>
      </c>
    </row>
    <row r="40" spans="1:1" x14ac:dyDescent="0.3">
      <c r="A40" t="str">
        <v>chicken</v>
      </c>
    </row>
    <row r="41" spans="1:1" x14ac:dyDescent="0.3">
      <c r="A41" t="str">
        <v>domestic_goose</v>
      </c>
    </row>
    <row r="42" spans="1:1" x14ac:dyDescent="0.3">
      <c r="A42" t="str">
        <v>thayer's_gull</v>
      </c>
    </row>
    <row r="43" spans="1:1" x14ac:dyDescent="0.3">
      <c r="A43" t="str">
        <v>black-billed_magpie</v>
      </c>
    </row>
    <row r="44" spans="1:1" x14ac:dyDescent="0.3">
      <c r="A44" t="str">
        <v>bonaparte's_gull</v>
      </c>
    </row>
    <row r="45" spans="1:1" x14ac:dyDescent="0.3">
      <c r="A45" t="str">
        <v>red-tailed_hawk</v>
      </c>
    </row>
    <row r="46" spans="1:1" x14ac:dyDescent="0.3">
      <c r="A46" t="str">
        <v>coopers_hawk</v>
      </c>
    </row>
    <row r="47" spans="1:1" x14ac:dyDescent="0.3">
      <c r="A47" t="str">
        <v>snowy_plover</v>
      </c>
    </row>
    <row r="48" spans="1:1" x14ac:dyDescent="0.3">
      <c r="A48" t="str">
        <v>herring_gull</v>
      </c>
    </row>
    <row r="49" spans="1:1" x14ac:dyDescent="0.3">
      <c r="A49" t="str">
        <v>common_goldeneye</v>
      </c>
    </row>
    <row r="50" spans="1:1" x14ac:dyDescent="0.3">
      <c r="A50" t="str">
        <v>cooper_s_hawk</v>
      </c>
    </row>
    <row r="51" spans="1:1" x14ac:dyDescent="0.3">
      <c r="A51" t="str">
        <v>peregrine_falcon</v>
      </c>
    </row>
    <row r="52" spans="1:1" x14ac:dyDescent="0.3">
      <c r="A52" t="str">
        <v>black_turnstone</v>
      </c>
    </row>
    <row r="53" spans="1:1" x14ac:dyDescent="0.3">
      <c r="A53" t="str">
        <v>striped_skunk</v>
      </c>
    </row>
    <row r="54" spans="1:1" x14ac:dyDescent="0.3">
      <c r="A54" t="str">
        <v>falcon</v>
      </c>
    </row>
    <row r="55" spans="1:1" x14ac:dyDescent="0.3">
      <c r="A55" t="str">
        <v>cackling_goose</v>
      </c>
    </row>
    <row r="56" spans="1:1" x14ac:dyDescent="0.3">
      <c r="A56" t="str">
        <v>magpie</v>
      </c>
    </row>
    <row r="57" spans="1:1" x14ac:dyDescent="0.3">
      <c r="A57" t="str">
        <v>california_condor</v>
      </c>
    </row>
    <row r="58" spans="1:1" x14ac:dyDescent="0.3">
      <c r="A58" t="str">
        <v>cormorant</v>
      </c>
    </row>
    <row r="59" spans="1:1" x14ac:dyDescent="0.3">
      <c r="A59" t="str">
        <v>sanderling</v>
      </c>
    </row>
    <row r="60" spans="1:1" x14ac:dyDescent="0.3">
      <c r="A60" t="str">
        <v>short-tailed_shearwaters</v>
      </c>
    </row>
    <row r="61" spans="1:1" x14ac:dyDescent="0.3">
      <c r="A61" t="str">
        <v>common_murre</v>
      </c>
    </row>
    <row r="62" spans="1:1" x14ac:dyDescent="0.3">
      <c r="A62" t="str">
        <v>black-legged_kittiwake</v>
      </c>
    </row>
    <row r="63" spans="1:1" x14ac:dyDescent="0.3">
      <c r="A63" t="str">
        <v>polar_bear</v>
      </c>
    </row>
    <row r="64" spans="1:1" x14ac:dyDescent="0.3">
      <c r="A64" t="str">
        <v>great_blue_heron</v>
      </c>
    </row>
    <row r="65" spans="1:1" x14ac:dyDescent="0.3">
      <c r="A65" t="str">
        <v>guinea_fowl</v>
      </c>
    </row>
    <row r="66" spans="1:1" x14ac:dyDescent="0.3">
      <c r="A66" t="str">
        <v>glaucous-winged_gull</v>
      </c>
    </row>
    <row r="67" spans="1:1" x14ac:dyDescent="0.3">
      <c r="A67" t="str">
        <v>duck</v>
      </c>
    </row>
    <row r="68" spans="1:1" x14ac:dyDescent="0.3">
      <c r="A68" t="str">
        <v>barred_owl</v>
      </c>
    </row>
    <row r="69" spans="1:1" x14ac:dyDescent="0.3">
      <c r="A69" t="str">
        <v>turkey</v>
      </c>
    </row>
    <row r="70" spans="1:1" x14ac:dyDescent="0.3">
      <c r="A70" t="str">
        <v>glaucous_winged_gull</v>
      </c>
    </row>
    <row r="71" spans="1:1" x14ac:dyDescent="0.3">
      <c r="A71" t="str">
        <v>domestic_duck</v>
      </c>
    </row>
    <row r="72" spans="1:1" x14ac:dyDescent="0.3">
      <c r="A72" t="str">
        <v>gull_spp.</v>
      </c>
    </row>
    <row r="73" spans="1:1" x14ac:dyDescent="0.3">
      <c r="A73" t="str">
        <v>green-winged_teal</v>
      </c>
    </row>
    <row r="74" spans="1:1" x14ac:dyDescent="0.3">
      <c r="A74" t="str">
        <v>dunlin</v>
      </c>
    </row>
    <row r="75" spans="1:1" x14ac:dyDescent="0.3">
      <c r="A75" t="str">
        <v>merlin</v>
      </c>
    </row>
    <row r="76" spans="1:1" x14ac:dyDescent="0.3">
      <c r="A76" t="str">
        <v>rosss_goose</v>
      </c>
    </row>
    <row r="77" spans="1:1" x14ac:dyDescent="0.3">
      <c r="A77" t="str">
        <v>dove</v>
      </c>
    </row>
    <row r="78" spans="1:1" x14ac:dyDescent="0.3">
      <c r="A78" t="str">
        <v>goose</v>
      </c>
    </row>
    <row r="79" spans="1:1" x14ac:dyDescent="0.3">
      <c r="A79" t="str">
        <v>emu</v>
      </c>
    </row>
    <row r="80" spans="1:1" x14ac:dyDescent="0.3">
      <c r="A80" t="str">
        <v>pheasant</v>
      </c>
    </row>
    <row r="81" spans="1:1" x14ac:dyDescent="0.3">
      <c r="A81" t="str">
        <v>cat</v>
      </c>
    </row>
    <row r="82" spans="1:1" x14ac:dyDescent="0.3">
      <c r="A82" t="str">
        <v>guineafowl</v>
      </c>
    </row>
    <row r="83" spans="1:1" x14ac:dyDescent="0.3">
      <c r="A83" t="str">
        <v>american_black_duck</v>
      </c>
    </row>
    <row r="84" spans="1:1" x14ac:dyDescent="0.3">
      <c r="A84" t="str">
        <v>house_mouse</v>
      </c>
    </row>
    <row r="85" spans="1:1" x14ac:dyDescent="0.3">
      <c r="A85" t="str">
        <v>crow</v>
      </c>
    </row>
    <row r="86" spans="1:1" x14ac:dyDescent="0.3">
      <c r="A86" t="str">
        <v>grackle</v>
      </c>
    </row>
    <row r="87" spans="1:1" x14ac:dyDescent="0.3">
      <c r="A87" t="str">
        <v>black-necked_stilt</v>
      </c>
    </row>
    <row r="88" spans="1:1" x14ac:dyDescent="0.3">
      <c r="A88" t="str">
        <v>bird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639CC-5A42-4D0E-BB52-8104784D321B}">
  <dimension ref="A1:B189"/>
  <sheetViews>
    <sheetView workbookViewId="0">
      <selection activeCell="C1" sqref="C1"/>
    </sheetView>
  </sheetViews>
  <sheetFormatPr defaultRowHeight="14.4" x14ac:dyDescent="0.3"/>
  <cols>
    <col min="1" max="1" width="88.5546875" bestFit="1" customWidth="1"/>
    <col min="2" max="2" width="15.5546875" bestFit="1" customWidth="1"/>
  </cols>
  <sheetData>
    <row r="1" spans="1:2" x14ac:dyDescent="0.3">
      <c r="A1" t="s">
        <v>655</v>
      </c>
      <c r="B1" t="s">
        <v>656</v>
      </c>
    </row>
    <row r="2" spans="1:2" x14ac:dyDescent="0.3">
      <c r="A2" t="s">
        <v>100</v>
      </c>
      <c r="B2" t="str">
        <f>_xlfn.TEXTBEFORE(A2, "|", 1)</f>
        <v>EPI_ISL_19158209</v>
      </c>
    </row>
    <row r="3" spans="1:2" x14ac:dyDescent="0.3">
      <c r="A3" t="s">
        <v>101</v>
      </c>
      <c r="B3" t="str">
        <f>_xlfn.TEXTBEFORE(A3, "|", 1)</f>
        <v>EPI_ISL_19158210</v>
      </c>
    </row>
    <row r="4" spans="1:2" x14ac:dyDescent="0.3">
      <c r="A4" t="s">
        <v>26</v>
      </c>
      <c r="B4" t="str">
        <f>_xlfn.TEXTBEFORE(A4, "|", 1)</f>
        <v>EPI_ISL_19605804</v>
      </c>
    </row>
    <row r="5" spans="1:2" x14ac:dyDescent="0.3">
      <c r="A5" t="s">
        <v>31</v>
      </c>
      <c r="B5" t="str">
        <f>_xlfn.TEXTBEFORE(A5, "|", 1)</f>
        <v>EPI_ISL_19705486</v>
      </c>
    </row>
    <row r="6" spans="1:2" x14ac:dyDescent="0.3">
      <c r="A6" t="s">
        <v>75</v>
      </c>
      <c r="B6" t="str">
        <f>_xlfn.TEXTBEFORE(A6, "|", 1)</f>
        <v>EPI_ISL_19710882</v>
      </c>
    </row>
    <row r="7" spans="1:2" x14ac:dyDescent="0.3">
      <c r="A7" t="s">
        <v>33</v>
      </c>
      <c r="B7" t="str">
        <f>_xlfn.TEXTBEFORE(A7, "|", 1)</f>
        <v>EPI_ISL_20265835</v>
      </c>
    </row>
    <row r="8" spans="1:2" x14ac:dyDescent="0.3">
      <c r="A8" t="s">
        <v>549</v>
      </c>
      <c r="B8" t="str">
        <f>_xlfn.TEXTBEFORE(A8, "|", 1)</f>
        <v>SRR32226680</v>
      </c>
    </row>
    <row r="9" spans="1:2" x14ac:dyDescent="0.3">
      <c r="A9" t="s">
        <v>550</v>
      </c>
      <c r="B9" t="str">
        <f>_xlfn.TEXTBEFORE(A9, "|", 1)</f>
        <v>SRR32226682</v>
      </c>
    </row>
    <row r="10" spans="1:2" x14ac:dyDescent="0.3">
      <c r="A10" t="s">
        <v>146</v>
      </c>
      <c r="B10" t="str">
        <f>_xlfn.TEXTBEFORE(A10, "|", 1)</f>
        <v>SRR32254436</v>
      </c>
    </row>
    <row r="11" spans="1:2" x14ac:dyDescent="0.3">
      <c r="A11" t="s">
        <v>147</v>
      </c>
      <c r="B11" t="str">
        <f>_xlfn.TEXTBEFORE(A11, "|", 1)</f>
        <v>SRR32254442</v>
      </c>
    </row>
    <row r="12" spans="1:2" x14ac:dyDescent="0.3">
      <c r="A12" t="s">
        <v>155</v>
      </c>
      <c r="B12" t="str">
        <f>_xlfn.TEXTBEFORE(A12, "|", 1)</f>
        <v>SRR32512613</v>
      </c>
    </row>
    <row r="13" spans="1:2" x14ac:dyDescent="0.3">
      <c r="A13" t="s">
        <v>156</v>
      </c>
      <c r="B13" t="str">
        <f>_xlfn.TEXTBEFORE(A13, "|", 1)</f>
        <v>SRR32512672</v>
      </c>
    </row>
    <row r="14" spans="1:2" x14ac:dyDescent="0.3">
      <c r="A14" t="s">
        <v>153</v>
      </c>
      <c r="B14" t="str">
        <f>_xlfn.TEXTBEFORE(A14, "|", 1)</f>
        <v>SRR32513266</v>
      </c>
    </row>
    <row r="15" spans="1:2" x14ac:dyDescent="0.3">
      <c r="A15" t="s">
        <v>154</v>
      </c>
      <c r="B15" t="str">
        <f>_xlfn.TEXTBEFORE(A15, "|", 1)</f>
        <v>SRR32513267</v>
      </c>
    </row>
    <row r="16" spans="1:2" x14ac:dyDescent="0.3">
      <c r="A16" t="s">
        <v>157</v>
      </c>
      <c r="B16" t="str">
        <f>_xlfn.TEXTBEFORE(A16, "|", 1)</f>
        <v>SRR34270263</v>
      </c>
    </row>
    <row r="17" spans="1:2" x14ac:dyDescent="0.3">
      <c r="A17" t="s">
        <v>158</v>
      </c>
      <c r="B17" t="str">
        <f>_xlfn.TEXTBEFORE(A17, "|", 1)</f>
        <v>SRR36162682</v>
      </c>
    </row>
    <row r="18" spans="1:2" x14ac:dyDescent="0.3">
      <c r="A18" t="s">
        <v>283</v>
      </c>
      <c r="B18" t="str">
        <f>_xlfn.TEXTBEFORE(A18, "|", 1)</f>
        <v>SRR36614416</v>
      </c>
    </row>
    <row r="19" spans="1:2" x14ac:dyDescent="0.3">
      <c r="A19" t="s">
        <v>284</v>
      </c>
      <c r="B19" t="str">
        <f>_xlfn.TEXTBEFORE(A19, "|", 1)</f>
        <v>SRR36614417</v>
      </c>
    </row>
    <row r="20" spans="1:2" x14ac:dyDescent="0.3">
      <c r="A20" t="s">
        <v>285</v>
      </c>
      <c r="B20" t="str">
        <f>_xlfn.TEXTBEFORE(A20, "|", 1)</f>
        <v>SRR36614419</v>
      </c>
    </row>
    <row r="21" spans="1:2" x14ac:dyDescent="0.3">
      <c r="A21" t="s">
        <v>286</v>
      </c>
      <c r="B21" t="str">
        <f>_xlfn.TEXTBEFORE(A21, "|", 1)</f>
        <v>SRR36614442</v>
      </c>
    </row>
    <row r="22" spans="1:2" x14ac:dyDescent="0.3">
      <c r="A22" t="s">
        <v>287</v>
      </c>
      <c r="B22" t="str">
        <f>_xlfn.TEXTBEFORE(A22, "|", 1)</f>
        <v>SRR36614444</v>
      </c>
    </row>
    <row r="23" spans="1:2" x14ac:dyDescent="0.3">
      <c r="A23" t="s">
        <v>288</v>
      </c>
      <c r="B23" t="str">
        <f>_xlfn.TEXTBEFORE(A23, "|", 1)</f>
        <v>SRR36614472</v>
      </c>
    </row>
    <row r="24" spans="1:2" x14ac:dyDescent="0.3">
      <c r="A24" t="s">
        <v>289</v>
      </c>
      <c r="B24" t="str">
        <f>_xlfn.TEXTBEFORE(A24, "|", 1)</f>
        <v>SRR36614505</v>
      </c>
    </row>
    <row r="25" spans="1:2" x14ac:dyDescent="0.3">
      <c r="A25" t="s">
        <v>290</v>
      </c>
      <c r="B25" t="str">
        <f>_xlfn.TEXTBEFORE(A25, "|", 1)</f>
        <v>SRR36614544</v>
      </c>
    </row>
    <row r="26" spans="1:2" x14ac:dyDescent="0.3">
      <c r="A26" t="s">
        <v>291</v>
      </c>
      <c r="B26" t="str">
        <f>_xlfn.TEXTBEFORE(A26, "|", 1)</f>
        <v>SRR36614545</v>
      </c>
    </row>
    <row r="27" spans="1:2" x14ac:dyDescent="0.3">
      <c r="A27" t="s">
        <v>292</v>
      </c>
      <c r="B27" t="str">
        <f>_xlfn.TEXTBEFORE(A27, "|", 1)</f>
        <v>SRR36614546</v>
      </c>
    </row>
    <row r="28" spans="1:2" x14ac:dyDescent="0.3">
      <c r="A28" t="s">
        <v>265</v>
      </c>
      <c r="B28" t="str">
        <f>_xlfn.TEXTBEFORE(A28, "|", 1)</f>
        <v>SRR36614628</v>
      </c>
    </row>
    <row r="29" spans="1:2" x14ac:dyDescent="0.3">
      <c r="A29" t="s">
        <v>266</v>
      </c>
      <c r="B29" t="str">
        <f>_xlfn.TEXTBEFORE(A29, "|", 1)</f>
        <v>SRR36614636</v>
      </c>
    </row>
    <row r="30" spans="1:2" x14ac:dyDescent="0.3">
      <c r="A30" t="s">
        <v>267</v>
      </c>
      <c r="B30" t="str">
        <f>_xlfn.TEXTBEFORE(A30, "|", 1)</f>
        <v>SRR36614670</v>
      </c>
    </row>
    <row r="31" spans="1:2" x14ac:dyDescent="0.3">
      <c r="A31" t="s">
        <v>282</v>
      </c>
      <c r="B31" t="str">
        <f>_xlfn.TEXTBEFORE(A31, "|", 1)</f>
        <v>SRR36614671</v>
      </c>
    </row>
    <row r="32" spans="1:2" x14ac:dyDescent="0.3">
      <c r="A32" t="s">
        <v>268</v>
      </c>
      <c r="B32" t="str">
        <f>_xlfn.TEXTBEFORE(A32, "|", 1)</f>
        <v>SRR36614683</v>
      </c>
    </row>
    <row r="33" spans="1:2" x14ac:dyDescent="0.3">
      <c r="A33" t="s">
        <v>269</v>
      </c>
      <c r="B33" t="str">
        <f>_xlfn.TEXTBEFORE(A33, "|", 1)</f>
        <v>SRR36614684</v>
      </c>
    </row>
    <row r="34" spans="1:2" x14ac:dyDescent="0.3">
      <c r="A34" t="s">
        <v>270</v>
      </c>
      <c r="B34" t="str">
        <f>_xlfn.TEXTBEFORE(A34, "|", 1)</f>
        <v>SRR36614685</v>
      </c>
    </row>
    <row r="35" spans="1:2" x14ac:dyDescent="0.3">
      <c r="A35" t="s">
        <v>271</v>
      </c>
      <c r="B35" t="str">
        <f>_xlfn.TEXTBEFORE(A35, "|", 1)</f>
        <v>SRR36614686</v>
      </c>
    </row>
    <row r="36" spans="1:2" x14ac:dyDescent="0.3">
      <c r="A36" t="s">
        <v>272</v>
      </c>
      <c r="B36" t="str">
        <f>_xlfn.TEXTBEFORE(A36, "|", 1)</f>
        <v>SRR36614687</v>
      </c>
    </row>
    <row r="37" spans="1:2" x14ac:dyDescent="0.3">
      <c r="A37" t="s">
        <v>273</v>
      </c>
      <c r="B37" t="str">
        <f>_xlfn.TEXTBEFORE(A37, "|", 1)</f>
        <v>SRR36614700</v>
      </c>
    </row>
    <row r="38" spans="1:2" x14ac:dyDescent="0.3">
      <c r="A38" t="s">
        <v>274</v>
      </c>
      <c r="B38" t="str">
        <f>_xlfn.TEXTBEFORE(A38, "|", 1)</f>
        <v>SRR36614710</v>
      </c>
    </row>
    <row r="39" spans="1:2" x14ac:dyDescent="0.3">
      <c r="A39" t="s">
        <v>275</v>
      </c>
      <c r="B39" t="str">
        <f>_xlfn.TEXTBEFORE(A39, "|", 1)</f>
        <v>SRR36614717</v>
      </c>
    </row>
    <row r="40" spans="1:2" x14ac:dyDescent="0.3">
      <c r="A40" t="s">
        <v>276</v>
      </c>
      <c r="B40" t="str">
        <f>_xlfn.TEXTBEFORE(A40, "|", 1)</f>
        <v>SRR36614757</v>
      </c>
    </row>
    <row r="41" spans="1:2" x14ac:dyDescent="0.3">
      <c r="A41" t="s">
        <v>277</v>
      </c>
      <c r="B41" t="str">
        <f>_xlfn.TEXTBEFORE(A41, "|", 1)</f>
        <v>SRR36614819</v>
      </c>
    </row>
    <row r="42" spans="1:2" x14ac:dyDescent="0.3">
      <c r="A42" t="s">
        <v>278</v>
      </c>
      <c r="B42" t="str">
        <f>_xlfn.TEXTBEFORE(A42, "|", 1)</f>
        <v>SRR36614820</v>
      </c>
    </row>
    <row r="43" spans="1:2" x14ac:dyDescent="0.3">
      <c r="A43" t="s">
        <v>279</v>
      </c>
      <c r="B43" t="str">
        <f>_xlfn.TEXTBEFORE(A43, "|", 1)</f>
        <v>SRR36614822</v>
      </c>
    </row>
    <row r="44" spans="1:2" x14ac:dyDescent="0.3">
      <c r="A44" t="s">
        <v>280</v>
      </c>
      <c r="B44" t="str">
        <f>_xlfn.TEXTBEFORE(A44, "|", 1)</f>
        <v>SRR36614865</v>
      </c>
    </row>
    <row r="45" spans="1:2" x14ac:dyDescent="0.3">
      <c r="A45" t="s">
        <v>281</v>
      </c>
      <c r="B45" t="str">
        <f>_xlfn.TEXTBEFORE(A45, "|", 1)</f>
        <v>SRR36614878</v>
      </c>
    </row>
    <row r="46" spans="1:2" x14ac:dyDescent="0.3">
      <c r="A46" t="s">
        <v>246</v>
      </c>
      <c r="B46" t="str">
        <f>_xlfn.TEXTBEFORE(A46, "|", 1)</f>
        <v>SRR36614922</v>
      </c>
    </row>
    <row r="47" spans="1:2" x14ac:dyDescent="0.3">
      <c r="A47" t="s">
        <v>247</v>
      </c>
      <c r="B47" t="str">
        <f>_xlfn.TEXTBEFORE(A47, "|", 1)</f>
        <v>SRR36614923</v>
      </c>
    </row>
    <row r="48" spans="1:2" x14ac:dyDescent="0.3">
      <c r="A48" t="s">
        <v>248</v>
      </c>
      <c r="B48" t="str">
        <f>_xlfn.TEXTBEFORE(A48, "|", 1)</f>
        <v>SRR36614924</v>
      </c>
    </row>
    <row r="49" spans="1:2" x14ac:dyDescent="0.3">
      <c r="A49" t="s">
        <v>249</v>
      </c>
      <c r="B49" t="str">
        <f>_xlfn.TEXTBEFORE(A49, "|", 1)</f>
        <v>SRR36614932</v>
      </c>
    </row>
    <row r="50" spans="1:2" x14ac:dyDescent="0.3">
      <c r="A50" t="s">
        <v>250</v>
      </c>
      <c r="B50" t="str">
        <f>_xlfn.TEXTBEFORE(A50, "|", 1)</f>
        <v>SRR36614937</v>
      </c>
    </row>
    <row r="51" spans="1:2" x14ac:dyDescent="0.3">
      <c r="A51" t="s">
        <v>251</v>
      </c>
      <c r="B51" t="str">
        <f>_xlfn.TEXTBEFORE(A51, "|", 1)</f>
        <v>SRR36614986</v>
      </c>
    </row>
    <row r="52" spans="1:2" x14ac:dyDescent="0.3">
      <c r="A52" t="s">
        <v>252</v>
      </c>
      <c r="B52" t="str">
        <f>_xlfn.TEXTBEFORE(A52, "|", 1)</f>
        <v>SRR36614995</v>
      </c>
    </row>
    <row r="53" spans="1:2" x14ac:dyDescent="0.3">
      <c r="A53" t="s">
        <v>253</v>
      </c>
      <c r="B53" t="str">
        <f>_xlfn.TEXTBEFORE(A53, "|", 1)</f>
        <v>SRR36614997</v>
      </c>
    </row>
    <row r="54" spans="1:2" x14ac:dyDescent="0.3">
      <c r="A54" t="s">
        <v>254</v>
      </c>
      <c r="B54" t="str">
        <f>_xlfn.TEXTBEFORE(A54, "|", 1)</f>
        <v>SRR36615020</v>
      </c>
    </row>
    <row r="55" spans="1:2" x14ac:dyDescent="0.3">
      <c r="A55" t="s">
        <v>255</v>
      </c>
      <c r="B55" t="str">
        <f>_xlfn.TEXTBEFORE(A55, "|", 1)</f>
        <v>SRR36615094</v>
      </c>
    </row>
    <row r="56" spans="1:2" x14ac:dyDescent="0.3">
      <c r="A56" t="s">
        <v>256</v>
      </c>
      <c r="B56" t="str">
        <f>_xlfn.TEXTBEFORE(A56, "|", 1)</f>
        <v>SRR36615153</v>
      </c>
    </row>
    <row r="57" spans="1:2" x14ac:dyDescent="0.3">
      <c r="A57" t="s">
        <v>257</v>
      </c>
      <c r="B57" t="str">
        <f>_xlfn.TEXTBEFORE(A57, "|", 1)</f>
        <v>SRR36615169</v>
      </c>
    </row>
    <row r="58" spans="1:2" x14ac:dyDescent="0.3">
      <c r="A58" t="s">
        <v>258</v>
      </c>
      <c r="B58" t="str">
        <f>_xlfn.TEXTBEFORE(A58, "|", 1)</f>
        <v>SRR36615182</v>
      </c>
    </row>
    <row r="59" spans="1:2" x14ac:dyDescent="0.3">
      <c r="A59" t="s">
        <v>259</v>
      </c>
      <c r="B59" t="str">
        <f>_xlfn.TEXTBEFORE(A59, "|", 1)</f>
        <v>SRR36615203</v>
      </c>
    </row>
    <row r="60" spans="1:2" x14ac:dyDescent="0.3">
      <c r="A60" t="s">
        <v>260</v>
      </c>
      <c r="B60" t="str">
        <f>_xlfn.TEXTBEFORE(A60, "|", 1)</f>
        <v>SRR36615204</v>
      </c>
    </row>
    <row r="61" spans="1:2" x14ac:dyDescent="0.3">
      <c r="A61" t="s">
        <v>261</v>
      </c>
      <c r="B61" t="str">
        <f>_xlfn.TEXTBEFORE(A61, "|", 1)</f>
        <v>SRR36615205</v>
      </c>
    </row>
    <row r="62" spans="1:2" x14ac:dyDescent="0.3">
      <c r="A62" t="s">
        <v>262</v>
      </c>
      <c r="B62" t="str">
        <f>_xlfn.TEXTBEFORE(A62, "|", 1)</f>
        <v>SRR36615206</v>
      </c>
    </row>
    <row r="63" spans="1:2" x14ac:dyDescent="0.3">
      <c r="A63" t="s">
        <v>263</v>
      </c>
      <c r="B63" t="str">
        <f>_xlfn.TEXTBEFORE(A63, "|", 1)</f>
        <v>SRR36615207</v>
      </c>
    </row>
    <row r="64" spans="1:2" x14ac:dyDescent="0.3">
      <c r="A64" t="s">
        <v>264</v>
      </c>
      <c r="B64" t="str">
        <f>_xlfn.TEXTBEFORE(A64, "|", 1)</f>
        <v>SRR36615208</v>
      </c>
    </row>
    <row r="65" spans="1:2" x14ac:dyDescent="0.3">
      <c r="A65" t="s">
        <v>218</v>
      </c>
      <c r="B65" t="str">
        <f>_xlfn.TEXTBEFORE(A65, "|", 1)</f>
        <v>SRR36617228</v>
      </c>
    </row>
    <row r="66" spans="1:2" x14ac:dyDescent="0.3">
      <c r="A66" t="s">
        <v>219</v>
      </c>
      <c r="B66" t="str">
        <f>_xlfn.TEXTBEFORE(A66, "|", 1)</f>
        <v>SRR36617229</v>
      </c>
    </row>
    <row r="67" spans="1:2" x14ac:dyDescent="0.3">
      <c r="A67" t="s">
        <v>220</v>
      </c>
      <c r="B67" t="str">
        <f>_xlfn.TEXTBEFORE(A67, "|", 1)</f>
        <v>SRR36617230</v>
      </c>
    </row>
    <row r="68" spans="1:2" x14ac:dyDescent="0.3">
      <c r="A68" t="s">
        <v>221</v>
      </c>
      <c r="B68" t="str">
        <f>_xlfn.TEXTBEFORE(A68, "|", 1)</f>
        <v>SRR36617239</v>
      </c>
    </row>
    <row r="69" spans="1:2" x14ac:dyDescent="0.3">
      <c r="A69" t="s">
        <v>222</v>
      </c>
      <c r="B69" t="str">
        <f>_xlfn.TEXTBEFORE(A69, "|", 1)</f>
        <v>SRR36617256</v>
      </c>
    </row>
    <row r="70" spans="1:2" x14ac:dyDescent="0.3">
      <c r="A70" t="s">
        <v>223</v>
      </c>
      <c r="B70" t="str">
        <f>_xlfn.TEXTBEFORE(A70, "|", 1)</f>
        <v>SRR36617267</v>
      </c>
    </row>
    <row r="71" spans="1:2" x14ac:dyDescent="0.3">
      <c r="A71" t="s">
        <v>224</v>
      </c>
      <c r="B71" t="str">
        <f>_xlfn.TEXTBEFORE(A71, "|", 1)</f>
        <v>SRR36617271</v>
      </c>
    </row>
    <row r="72" spans="1:2" x14ac:dyDescent="0.3">
      <c r="A72" t="s">
        <v>225</v>
      </c>
      <c r="B72" t="str">
        <f>_xlfn.TEXTBEFORE(A72, "|", 1)</f>
        <v>SRR36617275</v>
      </c>
    </row>
    <row r="73" spans="1:2" x14ac:dyDescent="0.3">
      <c r="A73" t="s">
        <v>226</v>
      </c>
      <c r="B73" t="str">
        <f>_xlfn.TEXTBEFORE(A73, "|", 1)</f>
        <v>SRR36617276</v>
      </c>
    </row>
    <row r="74" spans="1:2" x14ac:dyDescent="0.3">
      <c r="A74" t="s">
        <v>227</v>
      </c>
      <c r="B74" t="str">
        <f>_xlfn.TEXTBEFORE(A74, "|", 1)</f>
        <v>SRR36617277</v>
      </c>
    </row>
    <row r="75" spans="1:2" x14ac:dyDescent="0.3">
      <c r="A75" t="s">
        <v>228</v>
      </c>
      <c r="B75" t="str">
        <f>_xlfn.TEXTBEFORE(A75, "|", 1)</f>
        <v>SRR36617278</v>
      </c>
    </row>
    <row r="76" spans="1:2" x14ac:dyDescent="0.3">
      <c r="A76" t="s">
        <v>229</v>
      </c>
      <c r="B76" t="str">
        <f>_xlfn.TEXTBEFORE(A76, "|", 1)</f>
        <v>SRR36617279</v>
      </c>
    </row>
    <row r="77" spans="1:2" x14ac:dyDescent="0.3">
      <c r="A77" t="s">
        <v>230</v>
      </c>
      <c r="B77" t="str">
        <f>_xlfn.TEXTBEFORE(A77, "|", 1)</f>
        <v>SRR36617280</v>
      </c>
    </row>
    <row r="78" spans="1:2" x14ac:dyDescent="0.3">
      <c r="A78" t="s">
        <v>231</v>
      </c>
      <c r="B78" t="str">
        <f>_xlfn.TEXTBEFORE(A78, "|", 1)</f>
        <v>SRR36617281</v>
      </c>
    </row>
    <row r="79" spans="1:2" x14ac:dyDescent="0.3">
      <c r="A79" t="s">
        <v>232</v>
      </c>
      <c r="B79" t="str">
        <f>_xlfn.TEXTBEFORE(A79, "|", 1)</f>
        <v>SRR36617282</v>
      </c>
    </row>
    <row r="80" spans="1:2" x14ac:dyDescent="0.3">
      <c r="A80" t="s">
        <v>233</v>
      </c>
      <c r="B80" t="str">
        <f>_xlfn.TEXTBEFORE(A80, "|", 1)</f>
        <v>SRR36617293</v>
      </c>
    </row>
    <row r="81" spans="1:2" x14ac:dyDescent="0.3">
      <c r="A81" t="s">
        <v>234</v>
      </c>
      <c r="B81" t="str">
        <f>_xlfn.TEXTBEFORE(A81, "|", 1)</f>
        <v>SRR36617323</v>
      </c>
    </row>
    <row r="82" spans="1:2" x14ac:dyDescent="0.3">
      <c r="A82" t="s">
        <v>235</v>
      </c>
      <c r="B82" t="str">
        <f>_xlfn.TEXTBEFORE(A82, "|", 1)</f>
        <v>SRR36617345</v>
      </c>
    </row>
    <row r="83" spans="1:2" x14ac:dyDescent="0.3">
      <c r="A83" t="s">
        <v>236</v>
      </c>
      <c r="B83" t="str">
        <f>_xlfn.TEXTBEFORE(A83, "|", 1)</f>
        <v>SRR36617356</v>
      </c>
    </row>
    <row r="84" spans="1:2" x14ac:dyDescent="0.3">
      <c r="A84" t="s">
        <v>237</v>
      </c>
      <c r="B84" t="str">
        <f>_xlfn.TEXTBEFORE(A84, "|", 1)</f>
        <v>SRR36617376</v>
      </c>
    </row>
    <row r="85" spans="1:2" x14ac:dyDescent="0.3">
      <c r="A85" t="s">
        <v>238</v>
      </c>
      <c r="B85" t="str">
        <f>_xlfn.TEXTBEFORE(A85, "|", 1)</f>
        <v>SRR36617383</v>
      </c>
    </row>
    <row r="86" spans="1:2" x14ac:dyDescent="0.3">
      <c r="A86" t="s">
        <v>239</v>
      </c>
      <c r="B86" t="str">
        <f>_xlfn.TEXTBEFORE(A86, "|", 1)</f>
        <v>SRR36617399</v>
      </c>
    </row>
    <row r="87" spans="1:2" x14ac:dyDescent="0.3">
      <c r="A87" t="s">
        <v>240</v>
      </c>
      <c r="B87" t="str">
        <f>_xlfn.TEXTBEFORE(A87, "|", 1)</f>
        <v>SRR36617498</v>
      </c>
    </row>
    <row r="88" spans="1:2" x14ac:dyDescent="0.3">
      <c r="A88" t="s">
        <v>241</v>
      </c>
      <c r="B88" t="str">
        <f>_xlfn.TEXTBEFORE(A88, "|", 1)</f>
        <v>SRR36617502</v>
      </c>
    </row>
    <row r="89" spans="1:2" x14ac:dyDescent="0.3">
      <c r="A89" t="s">
        <v>242</v>
      </c>
      <c r="B89" t="str">
        <f>_xlfn.TEXTBEFORE(A89, "|", 1)</f>
        <v>SRR36617509</v>
      </c>
    </row>
    <row r="90" spans="1:2" x14ac:dyDescent="0.3">
      <c r="A90" t="s">
        <v>243</v>
      </c>
      <c r="B90" t="str">
        <f>_xlfn.TEXTBEFORE(A90, "|", 1)</f>
        <v>SRR36617523</v>
      </c>
    </row>
    <row r="91" spans="1:2" x14ac:dyDescent="0.3">
      <c r="A91" t="s">
        <v>244</v>
      </c>
      <c r="B91" t="str">
        <f>_xlfn.TEXTBEFORE(A91, "|", 1)</f>
        <v>SRR36617534</v>
      </c>
    </row>
    <row r="92" spans="1:2" x14ac:dyDescent="0.3">
      <c r="A92" t="s">
        <v>245</v>
      </c>
      <c r="B92" t="str">
        <f>_xlfn.TEXTBEFORE(A92, "|", 1)</f>
        <v>SRR36617537</v>
      </c>
    </row>
    <row r="93" spans="1:2" x14ac:dyDescent="0.3">
      <c r="A93" t="s">
        <v>183</v>
      </c>
      <c r="B93" t="str">
        <f>_xlfn.TEXTBEFORE(A93, "|", 1)</f>
        <v>SRR36617539</v>
      </c>
    </row>
    <row r="94" spans="1:2" x14ac:dyDescent="0.3">
      <c r="A94" t="s">
        <v>184</v>
      </c>
      <c r="B94" t="str">
        <f>_xlfn.TEXTBEFORE(A94, "|", 1)</f>
        <v>SRR36617541</v>
      </c>
    </row>
    <row r="95" spans="1:2" x14ac:dyDescent="0.3">
      <c r="A95" t="s">
        <v>185</v>
      </c>
      <c r="B95" t="str">
        <f>_xlfn.TEXTBEFORE(A95, "|", 1)</f>
        <v>SRR36617545</v>
      </c>
    </row>
    <row r="96" spans="1:2" x14ac:dyDescent="0.3">
      <c r="A96" t="s">
        <v>186</v>
      </c>
      <c r="B96" t="str">
        <f>_xlfn.TEXTBEFORE(A96, "|", 1)</f>
        <v>SRR36617570</v>
      </c>
    </row>
    <row r="97" spans="1:2" x14ac:dyDescent="0.3">
      <c r="A97" t="s">
        <v>187</v>
      </c>
      <c r="B97" t="str">
        <f>_xlfn.TEXTBEFORE(A97, "|", 1)</f>
        <v>SRR36617574</v>
      </c>
    </row>
    <row r="98" spans="1:2" x14ac:dyDescent="0.3">
      <c r="A98" t="s">
        <v>188</v>
      </c>
      <c r="B98" t="str">
        <f>_xlfn.TEXTBEFORE(A98, "|", 1)</f>
        <v>SRR36617581</v>
      </c>
    </row>
    <row r="99" spans="1:2" x14ac:dyDescent="0.3">
      <c r="A99" t="s">
        <v>189</v>
      </c>
      <c r="B99" t="str">
        <f>_xlfn.TEXTBEFORE(A99, "|", 1)</f>
        <v>SRR36617592</v>
      </c>
    </row>
    <row r="100" spans="1:2" x14ac:dyDescent="0.3">
      <c r="A100" t="s">
        <v>190</v>
      </c>
      <c r="B100" t="str">
        <f>_xlfn.TEXTBEFORE(A100, "|", 1)</f>
        <v>SRR36617596</v>
      </c>
    </row>
    <row r="101" spans="1:2" x14ac:dyDescent="0.3">
      <c r="A101" t="s">
        <v>191</v>
      </c>
      <c r="B101" t="str">
        <f>_xlfn.TEXTBEFORE(A101, "|", 1)</f>
        <v>SRR36617597</v>
      </c>
    </row>
    <row r="102" spans="1:2" x14ac:dyDescent="0.3">
      <c r="A102" t="s">
        <v>192</v>
      </c>
      <c r="B102" t="str">
        <f>_xlfn.TEXTBEFORE(A102, "|", 1)</f>
        <v>SRR36617620</v>
      </c>
    </row>
    <row r="103" spans="1:2" x14ac:dyDescent="0.3">
      <c r="A103" t="s">
        <v>193</v>
      </c>
      <c r="B103" t="str">
        <f>_xlfn.TEXTBEFORE(A103, "|", 1)</f>
        <v>SRR36617644</v>
      </c>
    </row>
    <row r="104" spans="1:2" x14ac:dyDescent="0.3">
      <c r="A104" t="s">
        <v>194</v>
      </c>
      <c r="B104" t="str">
        <f>_xlfn.TEXTBEFORE(A104, "|", 1)</f>
        <v>SRR36617645</v>
      </c>
    </row>
    <row r="105" spans="1:2" x14ac:dyDescent="0.3">
      <c r="A105" t="s">
        <v>195</v>
      </c>
      <c r="B105" t="str">
        <f>_xlfn.TEXTBEFORE(A105, "|", 1)</f>
        <v>SRR36617651</v>
      </c>
    </row>
    <row r="106" spans="1:2" x14ac:dyDescent="0.3">
      <c r="A106" t="s">
        <v>196</v>
      </c>
      <c r="B106" t="str">
        <f>_xlfn.TEXTBEFORE(A106, "|", 1)</f>
        <v>SRR36617664</v>
      </c>
    </row>
    <row r="107" spans="1:2" x14ac:dyDescent="0.3">
      <c r="A107" t="s">
        <v>197</v>
      </c>
      <c r="B107" t="str">
        <f>_xlfn.TEXTBEFORE(A107, "|", 1)</f>
        <v>SRR36617671</v>
      </c>
    </row>
    <row r="108" spans="1:2" x14ac:dyDescent="0.3">
      <c r="A108" t="s">
        <v>198</v>
      </c>
      <c r="B108" t="str">
        <f>_xlfn.TEXTBEFORE(A108, "|", 1)</f>
        <v>SRR36617677</v>
      </c>
    </row>
    <row r="109" spans="1:2" x14ac:dyDescent="0.3">
      <c r="A109" t="s">
        <v>206</v>
      </c>
      <c r="B109" t="str">
        <f>_xlfn.TEXTBEFORE(A109, "|", 1)</f>
        <v>SRR36617678</v>
      </c>
    </row>
    <row r="110" spans="1:2" x14ac:dyDescent="0.3">
      <c r="A110" t="s">
        <v>199</v>
      </c>
      <c r="B110" t="str">
        <f>_xlfn.TEXTBEFORE(A110, "|", 1)</f>
        <v>SRR36617688</v>
      </c>
    </row>
    <row r="111" spans="1:2" x14ac:dyDescent="0.3">
      <c r="A111" t="s">
        <v>200</v>
      </c>
      <c r="B111" t="str">
        <f>_xlfn.TEXTBEFORE(A111, "|", 1)</f>
        <v>SRR36617699</v>
      </c>
    </row>
    <row r="112" spans="1:2" x14ac:dyDescent="0.3">
      <c r="A112" t="s">
        <v>201</v>
      </c>
      <c r="B112" t="str">
        <f>_xlfn.TEXTBEFORE(A112, "|", 1)</f>
        <v>SRR36617717</v>
      </c>
    </row>
    <row r="113" spans="1:2" x14ac:dyDescent="0.3">
      <c r="A113" t="s">
        <v>202</v>
      </c>
      <c r="B113" t="str">
        <f>_xlfn.TEXTBEFORE(A113, "|", 1)</f>
        <v>SRR36617720</v>
      </c>
    </row>
    <row r="114" spans="1:2" x14ac:dyDescent="0.3">
      <c r="A114" t="s">
        <v>203</v>
      </c>
      <c r="B114" t="str">
        <f>_xlfn.TEXTBEFORE(A114, "|", 1)</f>
        <v>SRR36617731</v>
      </c>
    </row>
    <row r="115" spans="1:2" x14ac:dyDescent="0.3">
      <c r="A115" t="s">
        <v>176</v>
      </c>
      <c r="B115" t="str">
        <f>_xlfn.TEXTBEFORE(A115, "|", 1)</f>
        <v>SRR36617743</v>
      </c>
    </row>
    <row r="116" spans="1:2" x14ac:dyDescent="0.3">
      <c r="A116" t="s">
        <v>204</v>
      </c>
      <c r="B116" t="str">
        <f>_xlfn.TEXTBEFORE(A116, "|", 1)</f>
        <v>SRR36617793</v>
      </c>
    </row>
    <row r="117" spans="1:2" x14ac:dyDescent="0.3">
      <c r="A117" t="s">
        <v>205</v>
      </c>
      <c r="B117" t="str">
        <f>_xlfn.TEXTBEFORE(A117, "|", 1)</f>
        <v>SRR36617794</v>
      </c>
    </row>
    <row r="118" spans="1:2" x14ac:dyDescent="0.3">
      <c r="A118" t="s">
        <v>207</v>
      </c>
      <c r="B118" t="str">
        <f>_xlfn.TEXTBEFORE(A118, "|", 1)</f>
        <v>SRR36617807</v>
      </c>
    </row>
    <row r="119" spans="1:2" x14ac:dyDescent="0.3">
      <c r="A119" t="s">
        <v>208</v>
      </c>
      <c r="B119" t="str">
        <f>_xlfn.TEXTBEFORE(A119, "|", 1)</f>
        <v>SRR36617818</v>
      </c>
    </row>
    <row r="120" spans="1:2" x14ac:dyDescent="0.3">
      <c r="A120" t="s">
        <v>209</v>
      </c>
      <c r="B120" t="str">
        <f>_xlfn.TEXTBEFORE(A120, "|", 1)</f>
        <v>SRR36617820</v>
      </c>
    </row>
    <row r="121" spans="1:2" x14ac:dyDescent="0.3">
      <c r="A121" t="s">
        <v>210</v>
      </c>
      <c r="B121" t="str">
        <f>_xlfn.TEXTBEFORE(A121, "|", 1)</f>
        <v>SRR36617821</v>
      </c>
    </row>
    <row r="122" spans="1:2" x14ac:dyDescent="0.3">
      <c r="A122" t="s">
        <v>211</v>
      </c>
      <c r="B122" t="str">
        <f>_xlfn.TEXTBEFORE(A122, "|", 1)</f>
        <v>SRR36617827</v>
      </c>
    </row>
    <row r="123" spans="1:2" x14ac:dyDescent="0.3">
      <c r="A123" t="s">
        <v>212</v>
      </c>
      <c r="B123" t="str">
        <f>_xlfn.TEXTBEFORE(A123, "|", 1)</f>
        <v>SRR36617828</v>
      </c>
    </row>
    <row r="124" spans="1:2" x14ac:dyDescent="0.3">
      <c r="A124" t="s">
        <v>213</v>
      </c>
      <c r="B124" t="str">
        <f>_xlfn.TEXTBEFORE(A124, "|", 1)</f>
        <v>SRR36617836</v>
      </c>
    </row>
    <row r="125" spans="1:2" x14ac:dyDescent="0.3">
      <c r="A125" t="s">
        <v>214</v>
      </c>
      <c r="B125" t="str">
        <f>_xlfn.TEXTBEFORE(A125, "|", 1)</f>
        <v>SRR36617837</v>
      </c>
    </row>
    <row r="126" spans="1:2" x14ac:dyDescent="0.3">
      <c r="A126" t="s">
        <v>215</v>
      </c>
      <c r="B126" t="str">
        <f>_xlfn.TEXTBEFORE(A126, "|", 1)</f>
        <v>SRR36617843</v>
      </c>
    </row>
    <row r="127" spans="1:2" x14ac:dyDescent="0.3">
      <c r="A127" t="s">
        <v>216</v>
      </c>
      <c r="B127" t="str">
        <f>_xlfn.TEXTBEFORE(A127, "|", 1)</f>
        <v>SRR36617847</v>
      </c>
    </row>
    <row r="128" spans="1:2" x14ac:dyDescent="0.3">
      <c r="A128" t="s">
        <v>217</v>
      </c>
      <c r="B128" t="str">
        <f>_xlfn.TEXTBEFORE(A128, "|", 1)</f>
        <v>SRR36617860</v>
      </c>
    </row>
    <row r="129" spans="1:2" x14ac:dyDescent="0.3">
      <c r="A129" t="s">
        <v>174</v>
      </c>
      <c r="B129" t="str">
        <f>_xlfn.TEXTBEFORE(A129, "|", 1)</f>
        <v>SRR36617917</v>
      </c>
    </row>
    <row r="130" spans="1:2" x14ac:dyDescent="0.3">
      <c r="A130" t="s">
        <v>175</v>
      </c>
      <c r="B130" t="str">
        <f>_xlfn.TEXTBEFORE(A130, "|", 1)</f>
        <v>SRR36617928</v>
      </c>
    </row>
    <row r="131" spans="1:2" x14ac:dyDescent="0.3">
      <c r="A131" t="s">
        <v>177</v>
      </c>
      <c r="B131" t="str">
        <f>_xlfn.TEXTBEFORE(A131, "|", 1)</f>
        <v>SRR36617946</v>
      </c>
    </row>
    <row r="132" spans="1:2" x14ac:dyDescent="0.3">
      <c r="A132" t="s">
        <v>178</v>
      </c>
      <c r="B132" t="str">
        <f>_xlfn.TEXTBEFORE(A132, "|", 1)</f>
        <v>SRR36617947</v>
      </c>
    </row>
    <row r="133" spans="1:2" x14ac:dyDescent="0.3">
      <c r="A133" t="s">
        <v>179</v>
      </c>
      <c r="B133" t="str">
        <f>_xlfn.TEXTBEFORE(A133, "|", 1)</f>
        <v>SRR36617957</v>
      </c>
    </row>
    <row r="134" spans="1:2" x14ac:dyDescent="0.3">
      <c r="A134" t="s">
        <v>180</v>
      </c>
      <c r="B134" t="str">
        <f>_xlfn.TEXTBEFORE(A134, "|", 1)</f>
        <v>SRR36617987</v>
      </c>
    </row>
    <row r="135" spans="1:2" x14ac:dyDescent="0.3">
      <c r="A135" t="s">
        <v>181</v>
      </c>
      <c r="B135" t="str">
        <f>_xlfn.TEXTBEFORE(A135, "|", 1)</f>
        <v>SRR36617990</v>
      </c>
    </row>
    <row r="136" spans="1:2" x14ac:dyDescent="0.3">
      <c r="A136" t="s">
        <v>182</v>
      </c>
      <c r="B136" t="str">
        <f>_xlfn.TEXTBEFORE(A136, "|", 1)</f>
        <v>SRR36617994</v>
      </c>
    </row>
    <row r="137" spans="1:2" x14ac:dyDescent="0.3">
      <c r="A137" t="s">
        <v>173</v>
      </c>
      <c r="B137" t="str">
        <f>_xlfn.TEXTBEFORE(A137, "|", 1)</f>
        <v>SRR36627836</v>
      </c>
    </row>
    <row r="138" spans="1:2" x14ac:dyDescent="0.3">
      <c r="A138" t="s">
        <v>170</v>
      </c>
      <c r="B138" t="str">
        <f>_xlfn.TEXTBEFORE(A138, "|", 1)</f>
        <v>SRR36627898</v>
      </c>
    </row>
    <row r="139" spans="1:2" x14ac:dyDescent="0.3">
      <c r="A139" t="s">
        <v>171</v>
      </c>
      <c r="B139" t="str">
        <f>_xlfn.TEXTBEFORE(A139, "|", 1)</f>
        <v>SRR36628091</v>
      </c>
    </row>
    <row r="140" spans="1:2" x14ac:dyDescent="0.3">
      <c r="A140" t="s">
        <v>172</v>
      </c>
      <c r="B140" t="str">
        <f>_xlfn.TEXTBEFORE(A140, "|", 1)</f>
        <v>SRR36628109</v>
      </c>
    </row>
    <row r="141" spans="1:2" x14ac:dyDescent="0.3">
      <c r="A141" t="s">
        <v>168</v>
      </c>
      <c r="B141" t="str">
        <f>_xlfn.TEXTBEFORE(A141, "|", 1)</f>
        <v>SRR36628416</v>
      </c>
    </row>
    <row r="142" spans="1:2" x14ac:dyDescent="0.3">
      <c r="A142" t="s">
        <v>169</v>
      </c>
      <c r="B142" t="str">
        <f>_xlfn.TEXTBEFORE(A142, "|", 1)</f>
        <v>SRR36628417</v>
      </c>
    </row>
    <row r="143" spans="1:2" x14ac:dyDescent="0.3">
      <c r="A143" t="s">
        <v>166</v>
      </c>
      <c r="B143" t="str">
        <f>_xlfn.TEXTBEFORE(A143, "|", 1)</f>
        <v>SRR36628554</v>
      </c>
    </row>
    <row r="144" spans="1:2" x14ac:dyDescent="0.3">
      <c r="A144" t="s">
        <v>167</v>
      </c>
      <c r="B144" t="str">
        <f>_xlfn.TEXTBEFORE(A144, "|", 1)</f>
        <v>SRR36628754</v>
      </c>
    </row>
    <row r="145" spans="1:2" x14ac:dyDescent="0.3">
      <c r="A145" t="s">
        <v>293</v>
      </c>
      <c r="B145" t="str">
        <f>_xlfn.TEXTBEFORE(A145, "|", 1)</f>
        <v>SRR36749528</v>
      </c>
    </row>
    <row r="146" spans="1:2" x14ac:dyDescent="0.3">
      <c r="A146" t="s">
        <v>294</v>
      </c>
      <c r="B146" t="str">
        <f>_xlfn.TEXTBEFORE(A146, "|", 1)</f>
        <v>SRR36749529</v>
      </c>
    </row>
    <row r="147" spans="1:2" x14ac:dyDescent="0.3">
      <c r="A147" t="s">
        <v>295</v>
      </c>
      <c r="B147" t="str">
        <f>_xlfn.TEXTBEFORE(A147, "|", 1)</f>
        <v>SRR36749531</v>
      </c>
    </row>
    <row r="148" spans="1:2" x14ac:dyDescent="0.3">
      <c r="A148" t="s">
        <v>296</v>
      </c>
      <c r="B148" t="str">
        <f>_xlfn.TEXTBEFORE(A148, "|", 1)</f>
        <v>SRR36749532</v>
      </c>
    </row>
    <row r="149" spans="1:2" x14ac:dyDescent="0.3">
      <c r="A149" t="s">
        <v>297</v>
      </c>
      <c r="B149" t="str">
        <f>_xlfn.TEXTBEFORE(A149, "|", 1)</f>
        <v>SRR36749535</v>
      </c>
    </row>
    <row r="150" spans="1:2" x14ac:dyDescent="0.3">
      <c r="A150" t="s">
        <v>298</v>
      </c>
      <c r="B150" t="str">
        <f>_xlfn.TEXTBEFORE(A150, "|", 1)</f>
        <v>SRR36749537</v>
      </c>
    </row>
    <row r="151" spans="1:2" x14ac:dyDescent="0.3">
      <c r="A151" t="s">
        <v>299</v>
      </c>
      <c r="B151" t="str">
        <f>_xlfn.TEXTBEFORE(A151, "|", 1)</f>
        <v>SRR36749538</v>
      </c>
    </row>
    <row r="152" spans="1:2" x14ac:dyDescent="0.3">
      <c r="A152" t="s">
        <v>300</v>
      </c>
      <c r="B152" t="str">
        <f>_xlfn.TEXTBEFORE(A152, "|", 1)</f>
        <v>SRR36749540</v>
      </c>
    </row>
    <row r="153" spans="1:2" x14ac:dyDescent="0.3">
      <c r="A153" t="s">
        <v>301</v>
      </c>
      <c r="B153" t="str">
        <f>_xlfn.TEXTBEFORE(A153, "|", 1)</f>
        <v>SRR36749542</v>
      </c>
    </row>
    <row r="154" spans="1:2" x14ac:dyDescent="0.3">
      <c r="A154" t="s">
        <v>302</v>
      </c>
      <c r="B154" t="str">
        <f>_xlfn.TEXTBEFORE(A154, "|", 1)</f>
        <v>SRR36749543</v>
      </c>
    </row>
    <row r="155" spans="1:2" x14ac:dyDescent="0.3">
      <c r="A155" t="s">
        <v>303</v>
      </c>
      <c r="B155" t="str">
        <f>_xlfn.TEXTBEFORE(A155, "|", 1)</f>
        <v>SRR36749544</v>
      </c>
    </row>
    <row r="156" spans="1:2" x14ac:dyDescent="0.3">
      <c r="A156" t="s">
        <v>304</v>
      </c>
      <c r="B156" t="str">
        <f>_xlfn.TEXTBEFORE(A156, "|", 1)</f>
        <v>SRR36749552</v>
      </c>
    </row>
    <row r="157" spans="1:2" x14ac:dyDescent="0.3">
      <c r="A157" t="s">
        <v>305</v>
      </c>
      <c r="B157" t="str">
        <f>_xlfn.TEXTBEFORE(A157, "|", 1)</f>
        <v>SRR36749561</v>
      </c>
    </row>
    <row r="158" spans="1:2" x14ac:dyDescent="0.3">
      <c r="A158" t="s">
        <v>306</v>
      </c>
      <c r="B158" t="str">
        <f>_xlfn.TEXTBEFORE(A158, "|", 1)</f>
        <v>SRR36749562</v>
      </c>
    </row>
    <row r="159" spans="1:2" x14ac:dyDescent="0.3">
      <c r="A159" t="s">
        <v>307</v>
      </c>
      <c r="B159" t="str">
        <f>_xlfn.TEXTBEFORE(A159, "|", 1)</f>
        <v>SRR36749564</v>
      </c>
    </row>
    <row r="160" spans="1:2" x14ac:dyDescent="0.3">
      <c r="A160" t="s">
        <v>308</v>
      </c>
      <c r="B160" t="str">
        <f>_xlfn.TEXTBEFORE(A160, "|", 1)</f>
        <v>SRR36749565</v>
      </c>
    </row>
    <row r="161" spans="1:2" x14ac:dyDescent="0.3">
      <c r="A161" t="s">
        <v>309</v>
      </c>
      <c r="B161" t="str">
        <f>_xlfn.TEXTBEFORE(A161, "|", 1)</f>
        <v>SRR36749566</v>
      </c>
    </row>
    <row r="162" spans="1:2" x14ac:dyDescent="0.3">
      <c r="A162" t="s">
        <v>310</v>
      </c>
      <c r="B162" t="str">
        <f>_xlfn.TEXTBEFORE(A162, "|", 1)</f>
        <v>SRR36749568</v>
      </c>
    </row>
    <row r="163" spans="1:2" x14ac:dyDescent="0.3">
      <c r="A163" t="s">
        <v>311</v>
      </c>
      <c r="B163" t="str">
        <f>_xlfn.TEXTBEFORE(A163, "|", 1)</f>
        <v>SRR36749585</v>
      </c>
    </row>
    <row r="164" spans="1:2" x14ac:dyDescent="0.3">
      <c r="A164" t="s">
        <v>312</v>
      </c>
      <c r="B164" t="str">
        <f>_xlfn.TEXTBEFORE(A164, "|", 1)</f>
        <v>SRR36749596</v>
      </c>
    </row>
    <row r="165" spans="1:2" x14ac:dyDescent="0.3">
      <c r="A165" t="s">
        <v>313</v>
      </c>
      <c r="B165" t="str">
        <f>_xlfn.TEXTBEFORE(A165, "|", 1)</f>
        <v>SRR36749602</v>
      </c>
    </row>
    <row r="166" spans="1:2" x14ac:dyDescent="0.3">
      <c r="A166" t="s">
        <v>314</v>
      </c>
      <c r="B166" t="str">
        <f>_xlfn.TEXTBEFORE(A166, "|", 1)</f>
        <v>SRR36749605</v>
      </c>
    </row>
    <row r="167" spans="1:2" x14ac:dyDescent="0.3">
      <c r="A167" t="s">
        <v>315</v>
      </c>
      <c r="B167" t="str">
        <f>_xlfn.TEXTBEFORE(A167, "|", 1)</f>
        <v>SRR36749627</v>
      </c>
    </row>
    <row r="168" spans="1:2" x14ac:dyDescent="0.3">
      <c r="A168" t="s">
        <v>316</v>
      </c>
      <c r="B168" t="str">
        <f>_xlfn.TEXTBEFORE(A168, "|", 1)</f>
        <v>SRR36749638</v>
      </c>
    </row>
    <row r="169" spans="1:2" x14ac:dyDescent="0.3">
      <c r="A169" t="s">
        <v>317</v>
      </c>
      <c r="B169" t="str">
        <f>_xlfn.TEXTBEFORE(A169, "|", 1)</f>
        <v>SRR36749660</v>
      </c>
    </row>
    <row r="170" spans="1:2" x14ac:dyDescent="0.3">
      <c r="A170" t="s">
        <v>318</v>
      </c>
      <c r="B170" t="str">
        <f>_xlfn.TEXTBEFORE(A170, "|", 1)</f>
        <v>SRR36749688</v>
      </c>
    </row>
    <row r="171" spans="1:2" x14ac:dyDescent="0.3">
      <c r="A171" t="s">
        <v>319</v>
      </c>
      <c r="B171" t="str">
        <f>_xlfn.TEXTBEFORE(A171, "|", 1)</f>
        <v>SRR36749706</v>
      </c>
    </row>
    <row r="172" spans="1:2" x14ac:dyDescent="0.3">
      <c r="A172" t="s">
        <v>320</v>
      </c>
      <c r="B172" t="str">
        <f>_xlfn.TEXTBEFORE(A172, "|", 1)</f>
        <v>SRR36749707</v>
      </c>
    </row>
    <row r="173" spans="1:2" x14ac:dyDescent="0.3">
      <c r="A173" t="s">
        <v>321</v>
      </c>
      <c r="B173" t="str">
        <f>_xlfn.TEXTBEFORE(A173, "|", 1)</f>
        <v>SRR36749710</v>
      </c>
    </row>
    <row r="174" spans="1:2" x14ac:dyDescent="0.3">
      <c r="A174" t="s">
        <v>322</v>
      </c>
      <c r="B174" t="str">
        <f>_xlfn.TEXTBEFORE(A174, "|", 1)</f>
        <v>SRR36749711</v>
      </c>
    </row>
    <row r="175" spans="1:2" x14ac:dyDescent="0.3">
      <c r="A175" t="s">
        <v>323</v>
      </c>
      <c r="B175" t="str">
        <f>_xlfn.TEXTBEFORE(A175, "|", 1)</f>
        <v>SRR36749712</v>
      </c>
    </row>
    <row r="176" spans="1:2" x14ac:dyDescent="0.3">
      <c r="A176" t="s">
        <v>324</v>
      </c>
      <c r="B176" t="str">
        <f>_xlfn.TEXTBEFORE(A176, "|", 1)</f>
        <v>SRR36749714</v>
      </c>
    </row>
    <row r="177" spans="1:2" x14ac:dyDescent="0.3">
      <c r="A177" t="s">
        <v>325</v>
      </c>
      <c r="B177" t="str">
        <f>_xlfn.TEXTBEFORE(A177, "|", 1)</f>
        <v>SRR36749715</v>
      </c>
    </row>
    <row r="178" spans="1:2" x14ac:dyDescent="0.3">
      <c r="A178" t="s">
        <v>326</v>
      </c>
      <c r="B178" t="str">
        <f>_xlfn.TEXTBEFORE(A178, "|", 1)</f>
        <v>SRR36749717</v>
      </c>
    </row>
    <row r="179" spans="1:2" x14ac:dyDescent="0.3">
      <c r="A179" t="s">
        <v>327</v>
      </c>
      <c r="B179" t="str">
        <f>_xlfn.TEXTBEFORE(A179, "|", 1)</f>
        <v>SRR36749720</v>
      </c>
    </row>
    <row r="180" spans="1:2" x14ac:dyDescent="0.3">
      <c r="A180" t="s">
        <v>328</v>
      </c>
      <c r="B180" t="str">
        <f>_xlfn.TEXTBEFORE(A180, "|", 1)</f>
        <v>SRR36749734</v>
      </c>
    </row>
    <row r="181" spans="1:2" x14ac:dyDescent="0.3">
      <c r="A181" t="s">
        <v>329</v>
      </c>
      <c r="B181" t="str">
        <f>_xlfn.TEXTBEFORE(A181, "|", 1)</f>
        <v>SRR36749746</v>
      </c>
    </row>
    <row r="182" spans="1:2" x14ac:dyDescent="0.3">
      <c r="A182" t="s">
        <v>330</v>
      </c>
      <c r="B182" t="str">
        <f>_xlfn.TEXTBEFORE(A182, "|", 1)</f>
        <v>SRR36749748</v>
      </c>
    </row>
    <row r="183" spans="1:2" x14ac:dyDescent="0.3">
      <c r="A183" t="s">
        <v>339</v>
      </c>
      <c r="B183" t="str">
        <f>_xlfn.TEXTBEFORE(A183, "|", 1)</f>
        <v>SRR37224130</v>
      </c>
    </row>
    <row r="184" spans="1:2" x14ac:dyDescent="0.3">
      <c r="A184" t="s">
        <v>341</v>
      </c>
      <c r="B184" t="str">
        <f>_xlfn.TEXTBEFORE(A184, "|", 1)</f>
        <v>SRR37292458</v>
      </c>
    </row>
    <row r="185" spans="1:2" x14ac:dyDescent="0.3">
      <c r="A185" t="s">
        <v>342</v>
      </c>
      <c r="B185" t="str">
        <f>_xlfn.TEXTBEFORE(A185, "|", 1)</f>
        <v>SRR37292542</v>
      </c>
    </row>
    <row r="186" spans="1:2" x14ac:dyDescent="0.3">
      <c r="A186" t="s">
        <v>343</v>
      </c>
      <c r="B186" t="str">
        <f>_xlfn.TEXTBEFORE(A186, "|", 1)</f>
        <v>SRR37292574</v>
      </c>
    </row>
    <row r="187" spans="1:2" x14ac:dyDescent="0.3">
      <c r="A187" t="s">
        <v>344</v>
      </c>
      <c r="B187" t="str">
        <f>_xlfn.TEXTBEFORE(A187, "|", 1)</f>
        <v>SRR37376626</v>
      </c>
    </row>
    <row r="188" spans="1:2" x14ac:dyDescent="0.3">
      <c r="A188" t="s">
        <v>345</v>
      </c>
      <c r="B188" t="str">
        <f>_xlfn.TEXTBEFORE(A188, "|", 1)</f>
        <v>SRR37376627</v>
      </c>
    </row>
    <row r="189" spans="1:2" x14ac:dyDescent="0.3">
      <c r="A189" t="s">
        <v>346</v>
      </c>
      <c r="B189" t="str">
        <f>_xlfn.TEXTBEFORE(A189, "|", 1)</f>
        <v>SRR37376630</v>
      </c>
    </row>
  </sheetData>
  <sortState xmlns:xlrd2="http://schemas.microsoft.com/office/spreadsheetml/2017/richdata2" ref="A2:B333">
    <sortCondition ref="B2:B333"/>
  </sortState>
  <conditionalFormatting sqref="A41:A189">
    <cfRule type="duplicateValues" dxfId="2" priority="2"/>
  </conditionalFormatting>
  <conditionalFormatting sqref="A1:A1048576">
    <cfRule type="duplicateValues" dxfId="1" priority="1"/>
  </conditionalFormatting>
  <conditionalFormatting sqref="A3:A40 A1">
    <cfRule type="duplicateValues" dxfId="0" priority="33"/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4b77578-9773-42d5-8507-251ca2dc2b06}" enabled="0" method="" siteId="{14b77578-9773-42d5-8507-251ca2dc2b0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Headers</vt:lpstr>
      <vt:lpstr>wendy_bird_categories</vt:lpstr>
      <vt:lpstr>unique_species</vt:lpstr>
      <vt:lpstr>metadata_needed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Maksiaev, Alexander (NIH/NLM) [F]</dc:creator>
  <cp:lastModifiedBy>Maksiaev, Alexander (NIH/NLM) [F]</cp:lastModifiedBy>
  <dcterms:created xsi:type="dcterms:W3CDTF">2026-03-19T13:42:25Z</dcterms:created>
  <dcterms:modified xsi:type="dcterms:W3CDTF">2026-03-22T19:44:39Z</dcterms:modified>
</cp:coreProperties>
</file>